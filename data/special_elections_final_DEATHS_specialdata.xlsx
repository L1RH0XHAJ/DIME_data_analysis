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hoxhaj_ic_ac_uk/Documents/Desktop/RA/Tommaso/Contributions_Paper/working_folder_lir/data/"/>
    </mc:Choice>
  </mc:AlternateContent>
  <xr:revisionPtr revIDLastSave="618" documentId="8_{68A94549-7D84-439D-B81C-57DEC4DD323E}" xr6:coauthVersionLast="47" xr6:coauthVersionMax="47" xr10:uidLastSave="{86FB6ECC-36CF-43B0-8244-90B283A7A58F}"/>
  <bookViews>
    <workbookView xWindow="2256" yWindow="3180" windowWidth="17280" windowHeight="8880" xr2:uid="{0307571A-DC21-4FE6-92A7-2B61053E2C12}"/>
  </bookViews>
  <sheets>
    <sheet name="Sheet1" sheetId="2" r:id="rId1"/>
    <sheet name="READM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R3" i="2" s="1"/>
  <c r="Q4" i="2"/>
  <c r="Q5" i="2"/>
  <c r="Q6" i="2"/>
  <c r="Q7" i="2"/>
  <c r="Q8" i="2"/>
  <c r="Q9" i="2"/>
  <c r="R9" i="2" s="1"/>
  <c r="Q10" i="2"/>
  <c r="R10" i="2" s="1"/>
  <c r="Q11" i="2"/>
  <c r="R11" i="2" s="1"/>
  <c r="Q12" i="2"/>
  <c r="Q13" i="2"/>
  <c r="R13" i="2" s="1"/>
  <c r="Q14" i="2"/>
  <c r="Q15" i="2"/>
  <c r="Q16" i="2"/>
  <c r="Q17" i="2"/>
  <c r="R17" i="2" s="1"/>
  <c r="Q18" i="2"/>
  <c r="R18" i="2" s="1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R70" i="2" s="1"/>
  <c r="Q71" i="2"/>
  <c r="Q72" i="2"/>
  <c r="R72" i="2" s="1"/>
  <c r="Q73" i="2"/>
  <c r="Q74" i="2"/>
  <c r="R74" i="2" s="1"/>
  <c r="Q75" i="2"/>
  <c r="Q76" i="2"/>
  <c r="Q2" i="2"/>
  <c r="L76" i="2"/>
  <c r="M76" i="2" s="1"/>
  <c r="L75" i="2"/>
  <c r="L74" i="2"/>
  <c r="L73" i="2"/>
  <c r="M73" i="2" s="1"/>
  <c r="L72" i="2"/>
  <c r="M72" i="2" s="1"/>
  <c r="L71" i="2"/>
  <c r="L70" i="2"/>
  <c r="L69" i="2"/>
  <c r="M69" i="2" s="1"/>
  <c r="L68" i="2"/>
  <c r="M68" i="2" s="1"/>
  <c r="L67" i="2"/>
  <c r="L66" i="2"/>
  <c r="L65" i="2"/>
  <c r="L64" i="2"/>
  <c r="M64" i="2" s="1"/>
  <c r="L63" i="2"/>
  <c r="L62" i="2"/>
  <c r="L61" i="2"/>
  <c r="L60" i="2"/>
  <c r="M60" i="2" s="1"/>
  <c r="L59" i="2"/>
  <c r="L58" i="2"/>
  <c r="L57" i="2"/>
  <c r="L56" i="2"/>
  <c r="L55" i="2"/>
  <c r="L54" i="2"/>
  <c r="M54" i="2" s="1"/>
  <c r="L53" i="2"/>
  <c r="L52" i="2"/>
  <c r="M52" i="2" s="1"/>
  <c r="L51" i="2"/>
  <c r="L50" i="2"/>
  <c r="L49" i="2"/>
  <c r="L48" i="2"/>
  <c r="M48" i="2" s="1"/>
  <c r="L47" i="2"/>
  <c r="L46" i="2"/>
  <c r="L45" i="2"/>
  <c r="L44" i="2"/>
  <c r="L43" i="2"/>
  <c r="L42" i="2"/>
  <c r="L41" i="2"/>
  <c r="L40" i="2"/>
  <c r="M40" i="2" s="1"/>
  <c r="L39" i="2"/>
  <c r="L38" i="2"/>
  <c r="L37" i="2"/>
  <c r="M37" i="2" s="1"/>
  <c r="L36" i="2"/>
  <c r="M36" i="2" s="1"/>
  <c r="L35" i="2"/>
  <c r="L34" i="2"/>
  <c r="L33" i="2"/>
  <c r="L32" i="2"/>
  <c r="M32" i="2" s="1"/>
  <c r="L31" i="2"/>
  <c r="L30" i="2"/>
  <c r="L29" i="2"/>
  <c r="L28" i="2"/>
  <c r="M28" i="2" s="1"/>
  <c r="L27" i="2"/>
  <c r="L26" i="2"/>
  <c r="L25" i="2"/>
  <c r="L24" i="2"/>
  <c r="M24" i="2" s="1"/>
  <c r="L23" i="2"/>
  <c r="L22" i="2"/>
  <c r="L20" i="2"/>
  <c r="M20" i="2" s="1"/>
  <c r="L19" i="2"/>
  <c r="L18" i="2"/>
  <c r="L17" i="2"/>
  <c r="L16" i="2"/>
  <c r="L15" i="2"/>
  <c r="L14" i="2"/>
  <c r="L13" i="2"/>
  <c r="L12" i="2"/>
  <c r="M12" i="2" s="1"/>
  <c r="L11" i="2"/>
  <c r="L10" i="2"/>
  <c r="L9" i="2"/>
  <c r="L8" i="2"/>
  <c r="L7" i="2"/>
  <c r="L6" i="2"/>
  <c r="L5" i="2"/>
  <c r="L4" i="2"/>
  <c r="M4" i="2" s="1"/>
  <c r="L3" i="2"/>
  <c r="L2" i="2"/>
  <c r="L21" i="2"/>
  <c r="K5" i="2"/>
  <c r="K6" i="2"/>
  <c r="K7" i="2"/>
  <c r="K8" i="2"/>
  <c r="K9" i="2"/>
  <c r="M9" i="2" s="1"/>
  <c r="K10" i="2"/>
  <c r="M10" i="2" s="1"/>
  <c r="K11" i="2"/>
  <c r="K14" i="2"/>
  <c r="K16" i="2"/>
  <c r="K18" i="2"/>
  <c r="K19" i="2"/>
  <c r="M19" i="2" s="1"/>
  <c r="K20" i="2"/>
  <c r="K21" i="2"/>
  <c r="M21" i="2" s="1"/>
  <c r="K23" i="2"/>
  <c r="K24" i="2"/>
  <c r="K25" i="2"/>
  <c r="K26" i="2"/>
  <c r="K27" i="2"/>
  <c r="M27" i="2" s="1"/>
  <c r="K28" i="2"/>
  <c r="K29" i="2"/>
  <c r="K30" i="2"/>
  <c r="K31" i="2"/>
  <c r="K33" i="2"/>
  <c r="M35" i="2"/>
  <c r="K36" i="2"/>
  <c r="M42" i="2"/>
  <c r="K47" i="2"/>
  <c r="K52" i="2"/>
  <c r="K53" i="2"/>
  <c r="K54" i="2"/>
  <c r="K56" i="2"/>
  <c r="K57" i="2"/>
  <c r="K58" i="2"/>
  <c r="K59" i="2"/>
  <c r="K61" i="2"/>
  <c r="K63" i="2"/>
  <c r="K65" i="2"/>
  <c r="K67" i="2"/>
  <c r="M67" i="2" s="1"/>
  <c r="K68" i="2"/>
  <c r="K70" i="2"/>
  <c r="K73" i="2"/>
  <c r="K74" i="2"/>
  <c r="M75" i="2"/>
  <c r="R12" i="2"/>
  <c r="R16" i="2"/>
  <c r="R19" i="2"/>
  <c r="P4" i="2"/>
  <c r="P6" i="2"/>
  <c r="P7" i="2"/>
  <c r="P8" i="2"/>
  <c r="R8" i="2" s="1"/>
  <c r="P9" i="2"/>
  <c r="P14" i="2"/>
  <c r="R14" i="2" s="1"/>
  <c r="P15" i="2"/>
  <c r="P16" i="2"/>
  <c r="P20" i="2"/>
  <c r="R20" i="2" s="1"/>
  <c r="P21" i="2"/>
  <c r="P24" i="2"/>
  <c r="P25" i="2"/>
  <c r="P27" i="2"/>
  <c r="P28" i="2"/>
  <c r="R28" i="2" s="1"/>
  <c r="R29" i="2"/>
  <c r="P30" i="2"/>
  <c r="P31" i="2"/>
  <c r="R32" i="2"/>
  <c r="P34" i="2"/>
  <c r="P36" i="2"/>
  <c r="R36" i="2" s="1"/>
  <c r="P39" i="2"/>
  <c r="R40" i="2"/>
  <c r="R44" i="2"/>
  <c r="R48" i="2"/>
  <c r="P52" i="2"/>
  <c r="R52" i="2" s="1"/>
  <c r="R53" i="2"/>
  <c r="R55" i="2"/>
  <c r="P58" i="2"/>
  <c r="P60" i="2"/>
  <c r="R60" i="2" s="1"/>
  <c r="P62" i="2"/>
  <c r="R62" i="2" s="1"/>
  <c r="P64" i="2"/>
  <c r="P67" i="2"/>
  <c r="R67" i="2" s="1"/>
  <c r="P69" i="2"/>
  <c r="R69" i="2" s="1"/>
  <c r="P72" i="2"/>
  <c r="R75" i="2"/>
  <c r="R76" i="2"/>
  <c r="M3" i="2"/>
  <c r="M11" i="2"/>
  <c r="M17" i="2"/>
  <c r="M2" i="2"/>
  <c r="R73" i="2" l="1"/>
  <c r="R68" i="2"/>
  <c r="R64" i="2"/>
  <c r="R56" i="2"/>
  <c r="M56" i="2"/>
  <c r="M53" i="2"/>
  <c r="M49" i="2"/>
  <c r="M44" i="2"/>
  <c r="R37" i="2"/>
  <c r="R33" i="2"/>
  <c r="R24" i="2"/>
  <c r="R23" i="2"/>
  <c r="R71" i="2"/>
  <c r="R65" i="2"/>
  <c r="R54" i="2"/>
  <c r="R46" i="2"/>
  <c r="R38" i="2"/>
  <c r="R30" i="2"/>
  <c r="R22" i="2"/>
  <c r="R6" i="2"/>
  <c r="M70" i="2"/>
  <c r="M62" i="2"/>
  <c r="M26" i="2"/>
  <c r="M58" i="2"/>
  <c r="M74" i="2"/>
  <c r="R61" i="2"/>
  <c r="R45" i="2"/>
  <c r="M43" i="2"/>
  <c r="M51" i="2"/>
  <c r="M59" i="2"/>
  <c r="R59" i="2"/>
  <c r="R51" i="2"/>
  <c r="R43" i="2"/>
  <c r="R35" i="2"/>
  <c r="R27" i="2"/>
  <c r="M66" i="2"/>
  <c r="R58" i="2"/>
  <c r="R42" i="2"/>
  <c r="R49" i="2"/>
  <c r="R25" i="2"/>
  <c r="M50" i="2"/>
  <c r="M34" i="2"/>
  <c r="R66" i="2"/>
  <c r="R50" i="2"/>
  <c r="R34" i="2"/>
  <c r="R26" i="2"/>
  <c r="R57" i="2"/>
  <c r="R41" i="2"/>
  <c r="M71" i="2"/>
  <c r="M63" i="2"/>
  <c r="M55" i="2"/>
  <c r="M47" i="2"/>
  <c r="M39" i="2"/>
  <c r="M31" i="2"/>
  <c r="M23" i="2"/>
  <c r="M16" i="2"/>
  <c r="M25" i="2"/>
  <c r="M33" i="2"/>
  <c r="M41" i="2"/>
  <c r="M57" i="2"/>
  <c r="M65" i="2"/>
  <c r="R63" i="2"/>
  <c r="R47" i="2"/>
  <c r="R39" i="2"/>
  <c r="R31" i="2"/>
  <c r="R15" i="2"/>
  <c r="R7" i="2"/>
  <c r="M22" i="2"/>
  <c r="M38" i="2"/>
  <c r="M61" i="2"/>
  <c r="M45" i="2"/>
  <c r="M29" i="2"/>
  <c r="M46" i="2"/>
  <c r="M30" i="2"/>
  <c r="R21" i="2"/>
  <c r="M18" i="2"/>
  <c r="M15" i="2"/>
  <c r="M14" i="2"/>
  <c r="M13" i="2"/>
  <c r="M8" i="2"/>
  <c r="M7" i="2"/>
  <c r="M6" i="2"/>
  <c r="R5" i="2"/>
  <c r="M5" i="2"/>
  <c r="R4" i="2"/>
  <c r="R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tc={D41476EF-3ABF-4A8D-A0B9-65D99B302337}</author>
    <author>tc={B4657A20-49B5-4219-AFF9-D00D6159C14F}</author>
  </authors>
  <commentList>
    <comment ref="H5" authorId="0" shapeId="0" xr:uid="{D41476EF-3ABF-4A8D-A0B9-65D99B30233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THESE TO FINAL DATASET</t>
      </text>
    </comment>
    <comment ref="I6" authorId="1" shapeId="0" xr:uid="{B4657A20-49B5-4219-AFF9-D00D6159C14F}">
      <text>
        <t>[Threaded comment]
Your version of Excel allows you to read this threaded comment; however, any edits to it will get removed if the file is opened in a newer version of Excel. Learn more: https://go.microsoft.com/fwlink/?linkid=870924
Comment:
    We consider 1980, the general elections she was in a coma but won this much regardless. She passed away in February of next year, and in May there were special elections where Hoyer won</t>
      </text>
    </comment>
  </commentList>
</comments>
</file>

<file path=xl/sharedStrings.xml><?xml version="1.0" encoding="utf-8"?>
<sst xmlns="http://schemas.openxmlformats.org/spreadsheetml/2006/main" count="320" uniqueCount="240">
  <si>
    <t>district</t>
  </si>
  <si>
    <t>spec_member</t>
  </si>
  <si>
    <t>spec_party</t>
  </si>
  <si>
    <t>resign_date</t>
  </si>
  <si>
    <t>death_date</t>
  </si>
  <si>
    <t>spec_election_date</t>
  </si>
  <si>
    <t>gen_elect_date</t>
  </si>
  <si>
    <t>CA11</t>
  </si>
  <si>
    <t>Leo Ryan</t>
  </si>
  <si>
    <t>D</t>
  </si>
  <si>
    <t>WI06</t>
  </si>
  <si>
    <t>William A</t>
  </si>
  <si>
    <t>R</t>
  </si>
  <si>
    <t>WV03</t>
  </si>
  <si>
    <t>John M. Slack Jr.</t>
  </si>
  <si>
    <t>NM02</t>
  </si>
  <si>
    <t>Harold L. Runnels</t>
  </si>
  <si>
    <t>MI04</t>
  </si>
  <si>
    <t>MD05</t>
  </si>
  <si>
    <t>Gladys Spellman</t>
  </si>
  <si>
    <t>OH04</t>
  </si>
  <si>
    <t>Tennyson Guyer</t>
  </si>
  <si>
    <t>CT01</t>
  </si>
  <si>
    <t>William R. Cotter</t>
  </si>
  <si>
    <t>OH17</t>
  </si>
  <si>
    <t>John M. Ashbrook</t>
  </si>
  <si>
    <t>IN01</t>
  </si>
  <si>
    <t>Adam Benjamin Jr.</t>
  </si>
  <si>
    <t>TX06</t>
  </si>
  <si>
    <t>NY07</t>
  </si>
  <si>
    <t>Benjamin S. Rosenthal</t>
  </si>
  <si>
    <t>CO06</t>
  </si>
  <si>
    <t>Jack Swigert</t>
  </si>
  <si>
    <t>CA05</t>
  </si>
  <si>
    <t>Phillip Burton</t>
  </si>
  <si>
    <t>GA07</t>
  </si>
  <si>
    <t>Larry McDonald</t>
  </si>
  <si>
    <t>WI04</t>
  </si>
  <si>
    <t>Clement J. Zablocki</t>
  </si>
  <si>
    <t>KY07</t>
  </si>
  <si>
    <t>Carl D. Perkins</t>
  </si>
  <si>
    <t>NJ13</t>
  </si>
  <si>
    <t>Edwin B. Forsythe</t>
  </si>
  <si>
    <t>LA08</t>
  </si>
  <si>
    <t>Gillis W. Long</t>
  </si>
  <si>
    <t>NY06</t>
  </si>
  <si>
    <t>Joseph P. Addabbo</t>
  </si>
  <si>
    <t>HI01</t>
  </si>
  <si>
    <t>IL14</t>
  </si>
  <si>
    <t>John E. Grotberg</t>
  </si>
  <si>
    <t>IL04</t>
  </si>
  <si>
    <t>George M. O'Brien</t>
  </si>
  <si>
    <t>Sala Burton</t>
  </si>
  <si>
    <t>CT04</t>
  </si>
  <si>
    <t>Stewart McKinney</t>
  </si>
  <si>
    <t>VA05</t>
  </si>
  <si>
    <t>Dan Daniel</t>
  </si>
  <si>
    <t>IL21</t>
  </si>
  <si>
    <t>C. Melvin Price</t>
  </si>
  <si>
    <t>NJ03</t>
  </si>
  <si>
    <t>James J. Howard</t>
  </si>
  <si>
    <t>TN02</t>
  </si>
  <si>
    <t>John Duncan Sr.</t>
  </si>
  <si>
    <t>AL03</t>
  </si>
  <si>
    <t>William F. Nichols</t>
  </si>
  <si>
    <t>FL18</t>
  </si>
  <si>
    <t>Claude Pepper</t>
  </si>
  <si>
    <t>MS05</t>
  </si>
  <si>
    <t>Larkin I. Smith</t>
  </si>
  <si>
    <t>TX18</t>
  </si>
  <si>
    <t>Mickey Leland</t>
  </si>
  <si>
    <t>HI02</t>
  </si>
  <si>
    <t>MA01</t>
  </si>
  <si>
    <t>Silvio Conte</t>
  </si>
  <si>
    <t>NC01</t>
  </si>
  <si>
    <t>Walter B. Jones Sr.</t>
  </si>
  <si>
    <t>NY17</t>
  </si>
  <si>
    <t>Theodore S. Weiss</t>
  </si>
  <si>
    <t>MI03</t>
  </si>
  <si>
    <t>Paul B. Henry</t>
  </si>
  <si>
    <t>KY02</t>
  </si>
  <si>
    <t>William Natcher</t>
  </si>
  <si>
    <t>NJ11</t>
  </si>
  <si>
    <t>Dean Gallo</t>
  </si>
  <si>
    <t>CA37</t>
  </si>
  <si>
    <t>MD07</t>
  </si>
  <si>
    <t>MO08</t>
  </si>
  <si>
    <t>Bill Emerson</t>
  </si>
  <si>
    <t>TX28</t>
  </si>
  <si>
    <t>Frank Tejeda</t>
  </si>
  <si>
    <t>CA22</t>
  </si>
  <si>
    <t>Walter Capps</t>
  </si>
  <si>
    <t>CA44</t>
  </si>
  <si>
    <t>Sonny Bono</t>
  </si>
  <si>
    <t>NM01</t>
  </si>
  <si>
    <t>Steven Schiff</t>
  </si>
  <si>
    <t>CA42</t>
  </si>
  <si>
    <t>George Brown Jr.</t>
  </si>
  <si>
    <t>Bruce Vento</t>
  </si>
  <si>
    <t>VA01</t>
  </si>
  <si>
    <t>Herb Bateman</t>
  </si>
  <si>
    <t>CA32</t>
  </si>
  <si>
    <t>Julian Dixon</t>
  </si>
  <si>
    <t>VA04</t>
  </si>
  <si>
    <t>Norman Sisisky</t>
  </si>
  <si>
    <t>MA09</t>
  </si>
  <si>
    <t>Joe Moakley</t>
  </si>
  <si>
    <t>SC02</t>
  </si>
  <si>
    <t>Floyd Spence</t>
  </si>
  <si>
    <t>Patsy Mink</t>
  </si>
  <si>
    <t>Bob Matsui</t>
  </si>
  <si>
    <t>GA10</t>
  </si>
  <si>
    <t>Charlie Norwood</t>
  </si>
  <si>
    <t>Juanita Millender-McDonald</t>
  </si>
  <si>
    <t>OH05</t>
  </si>
  <si>
    <t>Paul Gillmor</t>
  </si>
  <si>
    <t>Jo Ann Davis</t>
  </si>
  <si>
    <t>IN07</t>
  </si>
  <si>
    <t>Julia Carson</t>
  </si>
  <si>
    <t>CA12</t>
  </si>
  <si>
    <t>Tom Lantos</t>
  </si>
  <si>
    <t>MS01</t>
  </si>
  <si>
    <t>OH11</t>
  </si>
  <si>
    <t>Stephanie Tubbs Jones</t>
  </si>
  <si>
    <t>PA12</t>
  </si>
  <si>
    <t>John Murtha</t>
  </si>
  <si>
    <t>NJ10</t>
  </si>
  <si>
    <t>Donald M. Payne</t>
  </si>
  <si>
    <t>LA05</t>
  </si>
  <si>
    <t>FL13</t>
  </si>
  <si>
    <t>Bill Young</t>
  </si>
  <si>
    <t>Alan Nunnelee</t>
  </si>
  <si>
    <t>Mark Takai</t>
  </si>
  <si>
    <t>NY25</t>
  </si>
  <si>
    <t>Louise Slaughter</t>
  </si>
  <si>
    <t>NC03</t>
  </si>
  <si>
    <t>Walter B. Jones Jr.</t>
  </si>
  <si>
    <t>Elijah Cummings</t>
  </si>
  <si>
    <t>GA05</t>
  </si>
  <si>
    <t>John Lewis</t>
  </si>
  <si>
    <t>Luke Letlow</t>
  </si>
  <si>
    <t>Ron Wright</t>
  </si>
  <si>
    <t>FL20</t>
  </si>
  <si>
    <t>Alcee Hastings</t>
  </si>
  <si>
    <t>MN01</t>
  </si>
  <si>
    <t>Jim Hagedorn</t>
  </si>
  <si>
    <t>AK01</t>
  </si>
  <si>
    <t>Don Young</t>
  </si>
  <si>
    <t>IN02</t>
  </si>
  <si>
    <t>Jackie Walorski</t>
  </si>
  <si>
    <t>Donald McEachin</t>
  </si>
  <si>
    <t>Donald Payne</t>
  </si>
  <si>
    <t>Sheila Jackson</t>
  </si>
  <si>
    <t>William Royer (R)</t>
  </si>
  <si>
    <t>Tom Petri (R)</t>
  </si>
  <si>
    <t>John G. Hutchinson (D)</t>
  </si>
  <si>
    <t>Steny Hoyer (D)</t>
  </si>
  <si>
    <t>Mike Oxley (R)</t>
  </si>
  <si>
    <t>Barbara B. Kennelly (D)</t>
  </si>
  <si>
    <t>Jean Spencer Ashbrook (R)</t>
  </si>
  <si>
    <t>Katie Hall (D)</t>
  </si>
  <si>
    <t>Gary Ackerman (D)</t>
  </si>
  <si>
    <t>Dan Schaefer (R)</t>
  </si>
  <si>
    <t>Sala Burton (D)</t>
  </si>
  <si>
    <t>Buddy Darden (D)</t>
  </si>
  <si>
    <t>Jerry Kleczka (D)</t>
  </si>
  <si>
    <t>Chris Perkins (D)</t>
  </si>
  <si>
    <t>Jim Saxton (R)</t>
  </si>
  <si>
    <t>Catherine Small Long (D)</t>
  </si>
  <si>
    <t>Alton Waldon (D)</t>
  </si>
  <si>
    <t>Nancy Pelosi (D)</t>
  </si>
  <si>
    <t>Chris Shays (R)</t>
  </si>
  <si>
    <t>Lewis Payne (D)</t>
  </si>
  <si>
    <t>Jerry Costello (D)</t>
  </si>
  <si>
    <t>Frank Pallone (D)</t>
  </si>
  <si>
    <t>Jimmy Duncan (R)</t>
  </si>
  <si>
    <t>Glen Browder (D)</t>
  </si>
  <si>
    <t>Ileana Ros-Lehtinen (R)</t>
  </si>
  <si>
    <t>Gene Taylor (D)</t>
  </si>
  <si>
    <t>Craig Washington (D)</t>
  </si>
  <si>
    <t>John Olver (D)</t>
  </si>
  <si>
    <t>Eva Clayton (D)</t>
  </si>
  <si>
    <t>Jerry Nadler (D)</t>
  </si>
  <si>
    <t>Vern Ehlers (R)</t>
  </si>
  <si>
    <t>Ron Lewis (R)</t>
  </si>
  <si>
    <t>Jo Ann Emerson (R)</t>
  </si>
  <si>
    <t>Ciro Rodriguez (D)</t>
  </si>
  <si>
    <t>Lois Capps (D)</t>
  </si>
  <si>
    <t>Mary Bono (R)</t>
  </si>
  <si>
    <t>Heather Wilson (R)</t>
  </si>
  <si>
    <t>Joe Baca (D)</t>
  </si>
  <si>
    <t>Diane Watson (D)</t>
  </si>
  <si>
    <t>Randy Forbes (R)</t>
  </si>
  <si>
    <t>Stephen Lynch (D)</t>
  </si>
  <si>
    <t>Joe Wilson (R)</t>
  </si>
  <si>
    <t>Ed Case (D)</t>
  </si>
  <si>
    <t>Doris Matsui (D)</t>
  </si>
  <si>
    <t>Paul Broun (R)</t>
  </si>
  <si>
    <t>Laura Richardson (D)</t>
  </si>
  <si>
    <t>Bob Latta (R)</t>
  </si>
  <si>
    <t>Rob Wittman (R)</t>
  </si>
  <si>
    <t>AndrÃ© Carson (D)</t>
  </si>
  <si>
    <t>Jackie Speier (D)</t>
  </si>
  <si>
    <t>Marcia Fudge (D)</t>
  </si>
  <si>
    <t>Mark Critz (D)</t>
  </si>
  <si>
    <t>Donald Payne Jr. (D)</t>
  </si>
  <si>
    <t>David Jolly (R)</t>
  </si>
  <si>
    <t>Trent Kelly (R)</t>
  </si>
  <si>
    <t>Colleen Hanabusa (D)</t>
  </si>
  <si>
    <t>Joseph Morelle (D)</t>
  </si>
  <si>
    <t>Greg Murphy (R)</t>
  </si>
  <si>
    <t>Kweisi Mfume (D)</t>
  </si>
  <si>
    <t>Kwanza Hall (D)</t>
  </si>
  <si>
    <t>Julia Letlow (R)</t>
  </si>
  <si>
    <t>Jake Ellzey (R)</t>
  </si>
  <si>
    <t>Sheila Cherfilus-McCormick (D)</t>
  </si>
  <si>
    <t>Brad Finstad (R)</t>
  </si>
  <si>
    <t>Mary Peltola (D)</t>
  </si>
  <si>
    <t>Rudy Yakym (R)</t>
  </si>
  <si>
    <t>Jennifer McClellan (D)</t>
  </si>
  <si>
    <t>LaMonica McIver (D)</t>
  </si>
  <si>
    <t>Erica Lee Carter (D)</t>
  </si>
  <si>
    <t>successor</t>
  </si>
  <si>
    <t>dead_member_margin</t>
  </si>
  <si>
    <t>spec_winner_margin</t>
  </si>
  <si>
    <t>winner_votes_1</t>
  </si>
  <si>
    <t>loser_votes_1</t>
  </si>
  <si>
    <t>total_votes_1</t>
  </si>
  <si>
    <t>margin_votes_1</t>
  </si>
  <si>
    <t>winner_votes_2</t>
  </si>
  <si>
    <t>loser_votes_2</t>
  </si>
  <si>
    <t>total_votes_2</t>
  </si>
  <si>
    <t>margin_votes_2</t>
  </si>
  <si>
    <t>Joe Skeen</t>
  </si>
  <si>
    <t>runoff</t>
  </si>
  <si>
    <t>Dennis Hastert </t>
  </si>
  <si>
    <t>Jack Davis</t>
  </si>
  <si>
    <t>Rodney Frelinghuysen</t>
  </si>
  <si>
    <t>Betty McCollum</t>
  </si>
  <si>
    <t xml:space="preserve">This file is manually edited. Some dates may not be correct, we make changes in Python. Special_elections.csv is what we use to define special elections dates and treatments.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</si>
</sst>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18" fillId="0" borderId="0" xfId="0" applyNumberFormat="1" applyFont="1"/>
    <xf numFmtId="0" fontId="18" fillId="0" borderId="0" xfId="0" applyFont="1"/>
    <xf numFmtId="2" fontId="18" fillId="33" borderId="0" xfId="0" applyNumberFormat="1" applyFont="1" applyFill="1"/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xhaj, Lir" id="{AB220F29-1139-4C05-A562-E8FF2888ECDB}" userId="S::lhoxhaj@ic.ac.uk::a207210f-cbc6-4502-b066-bba2acc30a9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5-10-20T16:03:03.03" personId="{AB220F29-1139-4C05-A562-E8FF2888ECDB}" id="{D41476EF-3ABF-4A8D-A0B9-65D99B302337}">
    <text>ADD THESE TO FINAL DATASET</text>
  </threadedComment>
  <threadedComment ref="I6" dT="2025-10-29T15:34:20.26" personId="{AB220F29-1139-4C05-A562-E8FF2888ECDB}" id="{B4657A20-49B5-4219-AFF9-D00D6159C14F}">
    <text>We consider 1980, the general elections she was in a coma but won this much regardless. She passed away in February of next year, and in May there were special elections where Hoyer won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8328-E802-4775-8A3B-3E1908AF538F}">
  <dimension ref="A1:S76"/>
  <sheetViews>
    <sheetView tabSelected="1" zoomScaleNormal="100" workbookViewId="0">
      <pane xSplit="2" ySplit="1" topLeftCell="D43" activePane="bottomRight" state="frozen"/>
      <selection pane="topRight" activeCell="C1" sqref="C1"/>
      <selection pane="bottomLeft" activeCell="A2" sqref="A2"/>
      <selection pane="bottomRight" activeCell="F50" sqref="F50"/>
    </sheetView>
  </sheetViews>
  <sheetFormatPr defaultColWidth="8.77734375" defaultRowHeight="14.4" x14ac:dyDescent="0.3"/>
  <cols>
    <col min="2" max="2" width="23.44140625" bestFit="1" customWidth="1"/>
    <col min="4" max="5" width="10.77734375" bestFit="1" customWidth="1"/>
    <col min="6" max="6" width="16.44140625" bestFit="1" customWidth="1"/>
    <col min="7" max="7" width="13.109375" bestFit="1" customWidth="1"/>
    <col min="8" max="8" width="26.44140625" bestFit="1" customWidth="1"/>
    <col min="9" max="9" width="13.44140625" bestFit="1" customWidth="1"/>
    <col min="10" max="10" width="14.109375" bestFit="1" customWidth="1"/>
    <col min="11" max="11" width="12.77734375" bestFit="1" customWidth="1"/>
    <col min="12" max="12" width="14.77734375" bestFit="1" customWidth="1"/>
    <col min="13" max="13" width="19.109375" bestFit="1" customWidth="1"/>
    <col min="14" max="14" width="13.44140625" bestFit="1" customWidth="1"/>
    <col min="15" max="15" width="14.109375" bestFit="1" customWidth="1"/>
    <col min="16" max="16" width="12.77734375" bestFit="1" customWidth="1"/>
    <col min="17" max="17" width="14.77734375" bestFit="1" customWidth="1"/>
    <col min="18" max="18" width="17.6640625" bestFit="1" customWidth="1"/>
    <col min="19" max="19" width="8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222</v>
      </c>
      <c r="I1" t="s">
        <v>225</v>
      </c>
      <c r="J1" t="s">
        <v>226</v>
      </c>
      <c r="K1" t="s">
        <v>227</v>
      </c>
      <c r="L1" t="s">
        <v>228</v>
      </c>
      <c r="M1" t="s">
        <v>223</v>
      </c>
      <c r="N1" t="s">
        <v>229</v>
      </c>
      <c r="O1" t="s">
        <v>230</v>
      </c>
      <c r="P1" t="s">
        <v>231</v>
      </c>
      <c r="Q1" t="s">
        <v>232</v>
      </c>
      <c r="R1" t="s">
        <v>224</v>
      </c>
      <c r="S1" t="s">
        <v>234</v>
      </c>
    </row>
    <row r="2" spans="1:19" x14ac:dyDescent="0.3">
      <c r="A2" t="s">
        <v>7</v>
      </c>
      <c r="B2" t="s">
        <v>8</v>
      </c>
      <c r="C2" t="s">
        <v>9</v>
      </c>
      <c r="D2" s="1">
        <v>28812</v>
      </c>
      <c r="E2" s="1">
        <v>28812</v>
      </c>
      <c r="F2" s="1">
        <v>28948</v>
      </c>
      <c r="G2" s="1">
        <v>29529</v>
      </c>
      <c r="H2" t="s">
        <v>153</v>
      </c>
      <c r="I2" s="8">
        <v>60.5</v>
      </c>
      <c r="J2" s="8">
        <v>35.6</v>
      </c>
      <c r="K2" s="9">
        <v>100</v>
      </c>
      <c r="L2" s="8">
        <f t="shared" ref="L2:L20" si="0">I2-J2</f>
        <v>24.9</v>
      </c>
      <c r="M2" s="9">
        <f>L2/K2</f>
        <v>0.249</v>
      </c>
      <c r="N2" s="8">
        <v>57.3</v>
      </c>
      <c r="O2" s="8">
        <v>41.1</v>
      </c>
      <c r="P2" s="9">
        <v>100</v>
      </c>
      <c r="Q2" s="8">
        <f>N2-O2</f>
        <v>16.199999999999996</v>
      </c>
      <c r="R2">
        <f>Q2/P2</f>
        <v>0.16199999999999995</v>
      </c>
    </row>
    <row r="3" spans="1:19" x14ac:dyDescent="0.3">
      <c r="A3" t="s">
        <v>10</v>
      </c>
      <c r="B3" t="s">
        <v>11</v>
      </c>
      <c r="C3" t="s">
        <v>12</v>
      </c>
      <c r="D3" s="1">
        <v>28828</v>
      </c>
      <c r="E3" s="1">
        <v>28828</v>
      </c>
      <c r="F3" s="1">
        <v>28948</v>
      </c>
      <c r="G3" s="1">
        <v>29529</v>
      </c>
      <c r="H3" t="s">
        <v>154</v>
      </c>
      <c r="I3" s="8">
        <v>69.599999999999994</v>
      </c>
      <c r="J3" s="8">
        <v>29.6</v>
      </c>
      <c r="K3" s="9">
        <v>100</v>
      </c>
      <c r="L3" s="4">
        <f t="shared" si="0"/>
        <v>39.999999999999993</v>
      </c>
      <c r="M3">
        <f t="shared" ref="M3:M66" si="1">L3/K3</f>
        <v>0.39999999999999991</v>
      </c>
      <c r="N3" s="8">
        <v>50.4</v>
      </c>
      <c r="O3" s="8">
        <v>49.6</v>
      </c>
      <c r="P3" s="9">
        <v>100</v>
      </c>
      <c r="Q3" s="4">
        <f t="shared" ref="Q3:Q66" si="2">N3-O3</f>
        <v>0.79999999999999716</v>
      </c>
      <c r="R3">
        <f t="shared" ref="R3:R66" si="3">Q3/P3</f>
        <v>7.9999999999999724E-3</v>
      </c>
    </row>
    <row r="4" spans="1:19" x14ac:dyDescent="0.3">
      <c r="A4" t="s">
        <v>13</v>
      </c>
      <c r="B4" t="s">
        <v>14</v>
      </c>
      <c r="C4" t="s">
        <v>9</v>
      </c>
      <c r="D4" s="1">
        <v>29297</v>
      </c>
      <c r="E4" s="1">
        <v>29297</v>
      </c>
      <c r="F4" s="1">
        <v>29320</v>
      </c>
      <c r="G4" s="1">
        <v>29529</v>
      </c>
      <c r="H4" t="s">
        <v>155</v>
      </c>
      <c r="I4" s="8">
        <v>59.2</v>
      </c>
      <c r="J4" s="8">
        <v>40.799999999999997</v>
      </c>
      <c r="K4" s="9">
        <v>100</v>
      </c>
      <c r="L4" s="4">
        <f t="shared" si="0"/>
        <v>18.400000000000006</v>
      </c>
      <c r="M4">
        <f t="shared" si="1"/>
        <v>0.18400000000000005</v>
      </c>
      <c r="N4" s="8">
        <v>53.8</v>
      </c>
      <c r="O4" s="8">
        <v>46.2</v>
      </c>
      <c r="P4" s="9">
        <f t="shared" ref="P4:P64" si="4">N4+O4</f>
        <v>100</v>
      </c>
      <c r="Q4" s="4">
        <f t="shared" si="2"/>
        <v>7.5999999999999943</v>
      </c>
      <c r="R4">
        <f t="shared" si="3"/>
        <v>7.5999999999999943E-2</v>
      </c>
    </row>
    <row r="5" spans="1:19" x14ac:dyDescent="0.3">
      <c r="A5" t="s">
        <v>15</v>
      </c>
      <c r="B5" t="s">
        <v>16</v>
      </c>
      <c r="C5" t="s">
        <v>9</v>
      </c>
      <c r="D5" s="1">
        <v>29438</v>
      </c>
      <c r="E5" s="1">
        <v>29438</v>
      </c>
      <c r="F5" s="1">
        <v>29529</v>
      </c>
      <c r="G5" s="1">
        <v>29529</v>
      </c>
      <c r="H5" s="6" t="s">
        <v>233</v>
      </c>
      <c r="I5" s="8">
        <v>100</v>
      </c>
      <c r="J5" s="8">
        <v>0</v>
      </c>
      <c r="K5" s="9">
        <f>I5+J5</f>
        <v>100</v>
      </c>
      <c r="L5" s="8">
        <f t="shared" si="0"/>
        <v>100</v>
      </c>
      <c r="M5" s="9">
        <f t="shared" si="1"/>
        <v>1</v>
      </c>
      <c r="N5" s="8">
        <v>38</v>
      </c>
      <c r="O5" s="8">
        <v>34</v>
      </c>
      <c r="P5" s="11">
        <v>100</v>
      </c>
      <c r="Q5" s="8">
        <f t="shared" si="2"/>
        <v>4</v>
      </c>
      <c r="R5" s="9">
        <f t="shared" si="3"/>
        <v>0.04</v>
      </c>
    </row>
    <row r="6" spans="1:19" s="2" customFormat="1" x14ac:dyDescent="0.3">
      <c r="A6" s="2" t="s">
        <v>18</v>
      </c>
      <c r="B6" s="2" t="s">
        <v>19</v>
      </c>
      <c r="C6" s="2" t="s">
        <v>9</v>
      </c>
      <c r="D6" s="3">
        <v>32313</v>
      </c>
      <c r="E6" s="3">
        <v>32313</v>
      </c>
      <c r="F6" s="3">
        <v>29725</v>
      </c>
      <c r="G6" s="3">
        <v>30257</v>
      </c>
      <c r="H6" s="2" t="s">
        <v>156</v>
      </c>
      <c r="I6" s="10">
        <v>80.5</v>
      </c>
      <c r="J6" s="10">
        <v>19.5</v>
      </c>
      <c r="K6" s="9">
        <f t="shared" ref="K6:K65" si="5">I6+J6</f>
        <v>100</v>
      </c>
      <c r="L6" s="4">
        <f t="shared" si="0"/>
        <v>61</v>
      </c>
      <c r="M6">
        <f t="shared" si="1"/>
        <v>0.61</v>
      </c>
      <c r="N6" s="10">
        <v>55.8</v>
      </c>
      <c r="O6" s="10">
        <v>44.2</v>
      </c>
      <c r="P6" s="9">
        <f t="shared" si="4"/>
        <v>100</v>
      </c>
      <c r="Q6" s="4">
        <f t="shared" si="2"/>
        <v>11.599999999999994</v>
      </c>
      <c r="R6">
        <f t="shared" si="3"/>
        <v>0.11599999999999994</v>
      </c>
    </row>
    <row r="7" spans="1:19" x14ac:dyDescent="0.3">
      <c r="A7" t="s">
        <v>20</v>
      </c>
      <c r="B7" t="s">
        <v>21</v>
      </c>
      <c r="C7" t="s">
        <v>12</v>
      </c>
      <c r="D7" s="1">
        <v>29688</v>
      </c>
      <c r="E7" s="1">
        <v>29688</v>
      </c>
      <c r="F7" s="1">
        <v>29762</v>
      </c>
      <c r="G7" s="1">
        <v>30257</v>
      </c>
      <c r="H7" t="s">
        <v>157</v>
      </c>
      <c r="I7" s="8">
        <v>72.3</v>
      </c>
      <c r="J7" s="8">
        <v>27.7</v>
      </c>
      <c r="K7" s="9">
        <f t="shared" si="5"/>
        <v>100</v>
      </c>
      <c r="L7" s="4">
        <f t="shared" si="0"/>
        <v>44.599999999999994</v>
      </c>
      <c r="M7">
        <f t="shared" si="1"/>
        <v>0.44599999999999995</v>
      </c>
      <c r="N7" s="8">
        <v>50.2</v>
      </c>
      <c r="O7" s="8">
        <v>49.8</v>
      </c>
      <c r="P7" s="9">
        <f t="shared" si="4"/>
        <v>100</v>
      </c>
      <c r="Q7" s="4">
        <f t="shared" si="2"/>
        <v>0.40000000000000568</v>
      </c>
      <c r="R7">
        <f>Q7/P7</f>
        <v>4.0000000000000565E-3</v>
      </c>
    </row>
    <row r="8" spans="1:19" x14ac:dyDescent="0.3">
      <c r="A8" t="s">
        <v>22</v>
      </c>
      <c r="B8" t="s">
        <v>23</v>
      </c>
      <c r="C8" t="s">
        <v>9</v>
      </c>
      <c r="D8" s="1">
        <v>29837</v>
      </c>
      <c r="E8" s="1">
        <v>29837</v>
      </c>
      <c r="F8" s="1">
        <v>29963</v>
      </c>
      <c r="G8" s="1">
        <v>30257</v>
      </c>
      <c r="H8" t="s">
        <v>158</v>
      </c>
      <c r="I8" s="8">
        <v>63</v>
      </c>
      <c r="J8" s="8">
        <v>37</v>
      </c>
      <c r="K8" s="9">
        <f t="shared" si="5"/>
        <v>100</v>
      </c>
      <c r="L8" s="4">
        <f t="shared" si="0"/>
        <v>26</v>
      </c>
      <c r="M8">
        <f t="shared" si="1"/>
        <v>0.26</v>
      </c>
      <c r="N8" s="8">
        <v>58.8</v>
      </c>
      <c r="O8" s="8">
        <v>41.2</v>
      </c>
      <c r="P8" s="9">
        <f t="shared" si="4"/>
        <v>100</v>
      </c>
      <c r="Q8" s="4">
        <f t="shared" si="2"/>
        <v>17.599999999999994</v>
      </c>
      <c r="R8">
        <f t="shared" si="3"/>
        <v>0.17599999999999993</v>
      </c>
    </row>
    <row r="9" spans="1:19" x14ac:dyDescent="0.3">
      <c r="A9" t="s">
        <v>24</v>
      </c>
      <c r="B9" t="s">
        <v>25</v>
      </c>
      <c r="C9" t="s">
        <v>12</v>
      </c>
      <c r="D9" s="1">
        <v>30065</v>
      </c>
      <c r="E9" s="1">
        <v>30065</v>
      </c>
      <c r="F9" s="1">
        <v>30131</v>
      </c>
      <c r="G9" s="1">
        <v>30257</v>
      </c>
      <c r="H9" t="s">
        <v>159</v>
      </c>
      <c r="I9" s="8">
        <v>72.900000000000006</v>
      </c>
      <c r="J9" s="8">
        <v>27.1</v>
      </c>
      <c r="K9" s="9">
        <f t="shared" si="5"/>
        <v>100</v>
      </c>
      <c r="L9" s="4">
        <f t="shared" si="0"/>
        <v>45.800000000000004</v>
      </c>
      <c r="M9">
        <f t="shared" si="1"/>
        <v>0.45800000000000002</v>
      </c>
      <c r="N9" s="8">
        <v>73.900000000000006</v>
      </c>
      <c r="O9" s="8">
        <v>26.1</v>
      </c>
      <c r="P9" s="9">
        <f t="shared" si="4"/>
        <v>100</v>
      </c>
      <c r="Q9" s="4">
        <f t="shared" si="2"/>
        <v>47.800000000000004</v>
      </c>
      <c r="R9">
        <f t="shared" si="3"/>
        <v>0.47800000000000004</v>
      </c>
    </row>
    <row r="10" spans="1:19" x14ac:dyDescent="0.3">
      <c r="A10" t="s">
        <v>26</v>
      </c>
      <c r="B10" t="s">
        <v>27</v>
      </c>
      <c r="C10" t="s">
        <v>9</v>
      </c>
      <c r="D10" s="1">
        <v>30201</v>
      </c>
      <c r="E10" s="1">
        <v>30201</v>
      </c>
      <c r="F10" s="1">
        <v>30257</v>
      </c>
      <c r="G10" s="1">
        <v>30257</v>
      </c>
      <c r="H10" t="s">
        <v>160</v>
      </c>
      <c r="I10" s="8">
        <v>72</v>
      </c>
      <c r="J10" s="8">
        <v>28</v>
      </c>
      <c r="K10" s="9">
        <f t="shared" si="5"/>
        <v>100</v>
      </c>
      <c r="L10" s="4">
        <f t="shared" si="0"/>
        <v>44</v>
      </c>
      <c r="M10">
        <f t="shared" si="1"/>
        <v>0.44</v>
      </c>
      <c r="N10" s="8">
        <v>56.3</v>
      </c>
      <c r="O10" s="8">
        <v>43.1</v>
      </c>
      <c r="P10" s="9">
        <v>100</v>
      </c>
      <c r="Q10" s="4">
        <f t="shared" si="2"/>
        <v>13.199999999999996</v>
      </c>
      <c r="R10">
        <f t="shared" si="3"/>
        <v>0.13199999999999995</v>
      </c>
    </row>
    <row r="11" spans="1:19" x14ac:dyDescent="0.3">
      <c r="A11" t="s">
        <v>29</v>
      </c>
      <c r="B11" t="s">
        <v>30</v>
      </c>
      <c r="C11" t="s">
        <v>9</v>
      </c>
      <c r="D11" s="1">
        <v>30320</v>
      </c>
      <c r="E11" s="1">
        <v>30320</v>
      </c>
      <c r="F11" s="1">
        <v>30376</v>
      </c>
      <c r="G11" s="1">
        <v>30992</v>
      </c>
      <c r="H11" t="s">
        <v>161</v>
      </c>
      <c r="I11" s="8">
        <v>77.2</v>
      </c>
      <c r="J11" s="8">
        <v>22.8</v>
      </c>
      <c r="K11" s="9">
        <f t="shared" si="5"/>
        <v>100</v>
      </c>
      <c r="L11" s="4">
        <f t="shared" si="0"/>
        <v>54.400000000000006</v>
      </c>
      <c r="M11">
        <f t="shared" si="1"/>
        <v>0.54400000000000004</v>
      </c>
      <c r="N11" s="8">
        <v>48.73</v>
      </c>
      <c r="O11" s="8">
        <v>23.93</v>
      </c>
      <c r="P11" s="9">
        <v>100</v>
      </c>
      <c r="Q11" s="4">
        <f t="shared" si="2"/>
        <v>24.799999999999997</v>
      </c>
      <c r="R11">
        <f t="shared" si="3"/>
        <v>0.24799999999999997</v>
      </c>
    </row>
    <row r="12" spans="1:19" x14ac:dyDescent="0.3">
      <c r="A12" t="s">
        <v>31</v>
      </c>
      <c r="B12" t="s">
        <v>32</v>
      </c>
      <c r="C12" t="s">
        <v>9</v>
      </c>
      <c r="D12" s="1">
        <v>30312</v>
      </c>
      <c r="E12" s="1">
        <v>30312</v>
      </c>
      <c r="F12" s="1">
        <v>30404</v>
      </c>
      <c r="G12" s="1">
        <v>30992</v>
      </c>
      <c r="H12" t="s">
        <v>162</v>
      </c>
      <c r="I12" s="8">
        <v>62.2</v>
      </c>
      <c r="J12" s="8">
        <v>35.6</v>
      </c>
      <c r="K12" s="9">
        <v>100</v>
      </c>
      <c r="L12" s="4">
        <f t="shared" si="0"/>
        <v>26.6</v>
      </c>
      <c r="M12">
        <f t="shared" si="1"/>
        <v>0.26600000000000001</v>
      </c>
      <c r="N12" s="8">
        <v>63.29</v>
      </c>
      <c r="O12" s="8">
        <v>35.29</v>
      </c>
      <c r="P12" s="9">
        <v>100</v>
      </c>
      <c r="Q12" s="4">
        <f t="shared" si="2"/>
        <v>28</v>
      </c>
      <c r="R12">
        <f t="shared" si="3"/>
        <v>0.28000000000000003</v>
      </c>
    </row>
    <row r="13" spans="1:19" x14ac:dyDescent="0.3">
      <c r="A13" t="s">
        <v>33</v>
      </c>
      <c r="B13" t="s">
        <v>34</v>
      </c>
      <c r="C13" t="s">
        <v>9</v>
      </c>
      <c r="D13" s="1">
        <v>30416</v>
      </c>
      <c r="E13" s="1">
        <v>30416</v>
      </c>
      <c r="F13" s="1">
        <v>30488</v>
      </c>
      <c r="G13" s="1">
        <v>30992</v>
      </c>
      <c r="H13" t="s">
        <v>163</v>
      </c>
      <c r="I13" s="8">
        <v>57.9</v>
      </c>
      <c r="J13" s="8">
        <v>40.5</v>
      </c>
      <c r="K13" s="9">
        <v>100</v>
      </c>
      <c r="L13" s="4">
        <f t="shared" si="0"/>
        <v>17.399999999999999</v>
      </c>
      <c r="M13">
        <f t="shared" si="1"/>
        <v>0.17399999999999999</v>
      </c>
      <c r="N13" s="8">
        <v>56.94</v>
      </c>
      <c r="O13" s="8">
        <v>23.27</v>
      </c>
      <c r="P13" s="9">
        <v>100</v>
      </c>
      <c r="Q13" s="4">
        <f t="shared" si="2"/>
        <v>33.67</v>
      </c>
      <c r="R13">
        <f t="shared" si="3"/>
        <v>0.3367</v>
      </c>
    </row>
    <row r="14" spans="1:19" x14ac:dyDescent="0.3">
      <c r="A14" t="s">
        <v>35</v>
      </c>
      <c r="B14" t="s">
        <v>36</v>
      </c>
      <c r="C14" t="s">
        <v>9</v>
      </c>
      <c r="D14" s="1">
        <v>30560</v>
      </c>
      <c r="E14" s="1">
        <v>30560</v>
      </c>
      <c r="F14" s="1">
        <v>30628</v>
      </c>
      <c r="G14" s="1">
        <v>30992</v>
      </c>
      <c r="H14" t="s">
        <v>164</v>
      </c>
      <c r="I14" s="8">
        <v>61.1</v>
      </c>
      <c r="J14" s="8">
        <v>38.9</v>
      </c>
      <c r="K14" s="9">
        <f t="shared" si="5"/>
        <v>100</v>
      </c>
      <c r="L14" s="4">
        <f t="shared" si="0"/>
        <v>22.200000000000003</v>
      </c>
      <c r="M14">
        <f t="shared" si="1"/>
        <v>0.22200000000000003</v>
      </c>
      <c r="N14" s="8">
        <v>59.09</v>
      </c>
      <c r="O14" s="8">
        <v>40.909999999999997</v>
      </c>
      <c r="P14" s="9">
        <f t="shared" si="4"/>
        <v>100</v>
      </c>
      <c r="Q14" s="4">
        <f t="shared" si="2"/>
        <v>18.180000000000007</v>
      </c>
      <c r="R14">
        <f t="shared" si="3"/>
        <v>0.18180000000000007</v>
      </c>
      <c r="S14">
        <v>1</v>
      </c>
    </row>
    <row r="15" spans="1:19" x14ac:dyDescent="0.3">
      <c r="A15" t="s">
        <v>37</v>
      </c>
      <c r="B15" t="s">
        <v>38</v>
      </c>
      <c r="C15" t="s">
        <v>9</v>
      </c>
      <c r="D15" s="1">
        <v>30653</v>
      </c>
      <c r="E15" s="1">
        <v>30653</v>
      </c>
      <c r="F15" s="1">
        <v>30775</v>
      </c>
      <c r="G15" s="1">
        <v>30992</v>
      </c>
      <c r="H15" t="s">
        <v>165</v>
      </c>
      <c r="I15" s="8">
        <v>94.6</v>
      </c>
      <c r="J15" s="8">
        <v>3</v>
      </c>
      <c r="K15" s="9">
        <v>100</v>
      </c>
      <c r="L15" s="4">
        <f t="shared" si="0"/>
        <v>91.6</v>
      </c>
      <c r="M15">
        <f t="shared" si="1"/>
        <v>0.91599999999999993</v>
      </c>
      <c r="N15" s="8">
        <v>65.099999999999994</v>
      </c>
      <c r="O15" s="8">
        <v>34.9</v>
      </c>
      <c r="P15" s="9">
        <f t="shared" si="4"/>
        <v>100</v>
      </c>
      <c r="Q15" s="4">
        <f t="shared" si="2"/>
        <v>30.199999999999996</v>
      </c>
      <c r="R15">
        <f t="shared" si="3"/>
        <v>0.30199999999999994</v>
      </c>
    </row>
    <row r="16" spans="1:19" x14ac:dyDescent="0.3">
      <c r="A16" t="s">
        <v>39</v>
      </c>
      <c r="B16" t="s">
        <v>40</v>
      </c>
      <c r="C16" t="s">
        <v>9</v>
      </c>
      <c r="D16" s="1">
        <v>30897</v>
      </c>
      <c r="E16" s="1">
        <v>30897</v>
      </c>
      <c r="F16" s="1">
        <v>30992</v>
      </c>
      <c r="G16" s="1">
        <v>30992</v>
      </c>
      <c r="H16" t="s">
        <v>166</v>
      </c>
      <c r="I16" s="8">
        <v>79.400000000000006</v>
      </c>
      <c r="J16" s="8">
        <v>20.6</v>
      </c>
      <c r="K16" s="9">
        <f t="shared" si="5"/>
        <v>100</v>
      </c>
      <c r="L16" s="4">
        <f t="shared" si="0"/>
        <v>58.800000000000004</v>
      </c>
      <c r="M16">
        <f t="shared" si="1"/>
        <v>0.58800000000000008</v>
      </c>
      <c r="N16" s="8">
        <v>82.5</v>
      </c>
      <c r="O16" s="8">
        <v>17.5</v>
      </c>
      <c r="P16" s="9">
        <f t="shared" si="4"/>
        <v>100</v>
      </c>
      <c r="Q16" s="4">
        <f t="shared" si="2"/>
        <v>65</v>
      </c>
      <c r="R16">
        <f t="shared" si="3"/>
        <v>0.65</v>
      </c>
    </row>
    <row r="17" spans="1:19" x14ac:dyDescent="0.3">
      <c r="A17" t="s">
        <v>41</v>
      </c>
      <c r="B17" t="s">
        <v>42</v>
      </c>
      <c r="C17" t="s">
        <v>12</v>
      </c>
      <c r="D17" s="1">
        <v>30770</v>
      </c>
      <c r="E17" s="1">
        <v>30770</v>
      </c>
      <c r="F17" s="1">
        <v>30992</v>
      </c>
      <c r="G17" s="1">
        <v>30992</v>
      </c>
      <c r="H17" t="s">
        <v>167</v>
      </c>
      <c r="I17" s="8">
        <v>59.5</v>
      </c>
      <c r="J17" s="8">
        <v>39.1</v>
      </c>
      <c r="K17" s="9">
        <v>100</v>
      </c>
      <c r="L17" s="4">
        <f t="shared" si="0"/>
        <v>20.399999999999999</v>
      </c>
      <c r="M17">
        <f t="shared" si="1"/>
        <v>0.20399999999999999</v>
      </c>
      <c r="N17" s="8">
        <v>61.5</v>
      </c>
      <c r="O17" s="8">
        <v>37.799999999999997</v>
      </c>
      <c r="P17" s="9">
        <v>100</v>
      </c>
      <c r="Q17" s="4">
        <f t="shared" si="2"/>
        <v>23.700000000000003</v>
      </c>
      <c r="R17">
        <f t="shared" si="3"/>
        <v>0.23700000000000002</v>
      </c>
    </row>
    <row r="18" spans="1:19" x14ac:dyDescent="0.3">
      <c r="A18" t="s">
        <v>43</v>
      </c>
      <c r="B18" t="s">
        <v>44</v>
      </c>
      <c r="C18" t="s">
        <v>9</v>
      </c>
      <c r="D18" s="1">
        <v>31067</v>
      </c>
      <c r="E18" s="1">
        <v>31067</v>
      </c>
      <c r="F18" s="1">
        <v>31136</v>
      </c>
      <c r="G18" s="1">
        <v>31720</v>
      </c>
      <c r="H18" t="s">
        <v>168</v>
      </c>
      <c r="I18" s="8">
        <v>78</v>
      </c>
      <c r="J18" s="8">
        <v>22</v>
      </c>
      <c r="K18" s="9">
        <f t="shared" si="5"/>
        <v>100</v>
      </c>
      <c r="L18" s="4">
        <f t="shared" si="0"/>
        <v>56</v>
      </c>
      <c r="M18">
        <f t="shared" si="1"/>
        <v>0.56000000000000005</v>
      </c>
      <c r="N18" s="8">
        <v>55.79</v>
      </c>
      <c r="O18" s="8">
        <v>24.5</v>
      </c>
      <c r="P18" s="9">
        <v>100</v>
      </c>
      <c r="Q18" s="4">
        <f t="shared" si="2"/>
        <v>31.29</v>
      </c>
      <c r="R18">
        <f t="shared" si="3"/>
        <v>0.31290000000000001</v>
      </c>
    </row>
    <row r="19" spans="1:19" x14ac:dyDescent="0.3">
      <c r="A19" t="s">
        <v>45</v>
      </c>
      <c r="B19" t="s">
        <v>46</v>
      </c>
      <c r="C19" t="s">
        <v>9</v>
      </c>
      <c r="D19" s="1">
        <v>31512</v>
      </c>
      <c r="E19" s="1">
        <v>31512</v>
      </c>
      <c r="F19" s="1">
        <v>31573</v>
      </c>
      <c r="G19" s="1">
        <v>31720</v>
      </c>
      <c r="H19" t="s">
        <v>169</v>
      </c>
      <c r="I19" s="8">
        <v>82.7</v>
      </c>
      <c r="J19" s="8">
        <v>17.3</v>
      </c>
      <c r="K19" s="9">
        <f t="shared" si="5"/>
        <v>100</v>
      </c>
      <c r="L19" s="4">
        <f t="shared" si="0"/>
        <v>65.400000000000006</v>
      </c>
      <c r="M19">
        <f t="shared" si="1"/>
        <v>0.65400000000000003</v>
      </c>
      <c r="N19" s="8">
        <v>31</v>
      </c>
      <c r="O19" s="8">
        <v>30.3</v>
      </c>
      <c r="P19" s="9">
        <v>100</v>
      </c>
      <c r="Q19" s="4">
        <f t="shared" si="2"/>
        <v>0.69999999999999929</v>
      </c>
      <c r="R19">
        <f t="shared" si="3"/>
        <v>6.9999999999999932E-3</v>
      </c>
    </row>
    <row r="20" spans="1:19" s="2" customFormat="1" x14ac:dyDescent="0.3">
      <c r="A20" s="2" t="s">
        <v>48</v>
      </c>
      <c r="B20" s="2" t="s">
        <v>49</v>
      </c>
      <c r="C20" s="2" t="s">
        <v>12</v>
      </c>
      <c r="D20" s="3">
        <v>31731</v>
      </c>
      <c r="E20" s="3">
        <v>31731</v>
      </c>
      <c r="F20" s="3">
        <v>31731</v>
      </c>
      <c r="G20" s="3">
        <v>31720</v>
      </c>
      <c r="H20" s="6" t="s">
        <v>235</v>
      </c>
      <c r="I20" s="10">
        <v>62.2</v>
      </c>
      <c r="J20" s="10">
        <v>37.799999999999997</v>
      </c>
      <c r="K20" s="9">
        <f t="shared" si="5"/>
        <v>100</v>
      </c>
      <c r="L20" s="4">
        <f t="shared" si="0"/>
        <v>24.400000000000006</v>
      </c>
      <c r="M20">
        <f t="shared" si="1"/>
        <v>0.24400000000000005</v>
      </c>
      <c r="N20" s="10">
        <v>52.4</v>
      </c>
      <c r="O20" s="10">
        <v>47.6</v>
      </c>
      <c r="P20" s="9">
        <f t="shared" si="4"/>
        <v>100</v>
      </c>
      <c r="Q20" s="4">
        <f t="shared" si="2"/>
        <v>4.7999999999999972</v>
      </c>
      <c r="R20">
        <f t="shared" si="3"/>
        <v>4.7999999999999973E-2</v>
      </c>
    </row>
    <row r="21" spans="1:19" s="2" customFormat="1" x14ac:dyDescent="0.3">
      <c r="A21" s="2" t="s">
        <v>50</v>
      </c>
      <c r="B21" s="2" t="s">
        <v>51</v>
      </c>
      <c r="C21" s="2" t="s">
        <v>12</v>
      </c>
      <c r="D21" s="3">
        <v>31610</v>
      </c>
      <c r="E21" s="3">
        <v>31610</v>
      </c>
      <c r="F21" s="3">
        <v>31762</v>
      </c>
      <c r="G21" s="3">
        <v>31720</v>
      </c>
      <c r="H21" s="6" t="s">
        <v>236</v>
      </c>
      <c r="I21" s="10">
        <v>64</v>
      </c>
      <c r="J21" s="10">
        <v>36</v>
      </c>
      <c r="K21" s="9">
        <f t="shared" si="5"/>
        <v>100</v>
      </c>
      <c r="L21" s="4">
        <f>I21-J21</f>
        <v>28</v>
      </c>
      <c r="M21">
        <f t="shared" si="1"/>
        <v>0.28000000000000003</v>
      </c>
      <c r="N21" s="10">
        <v>51.6</v>
      </c>
      <c r="O21" s="10">
        <v>48.4</v>
      </c>
      <c r="P21" s="9">
        <f t="shared" si="4"/>
        <v>100</v>
      </c>
      <c r="Q21" s="4">
        <f t="shared" si="2"/>
        <v>3.2000000000000028</v>
      </c>
      <c r="R21">
        <f t="shared" si="3"/>
        <v>3.2000000000000028E-2</v>
      </c>
    </row>
    <row r="22" spans="1:19" x14ac:dyDescent="0.3">
      <c r="A22" t="s">
        <v>33</v>
      </c>
      <c r="B22" t="s">
        <v>52</v>
      </c>
      <c r="C22" t="s">
        <v>9</v>
      </c>
      <c r="D22" s="1">
        <v>31809</v>
      </c>
      <c r="E22" s="1">
        <v>31809</v>
      </c>
      <c r="F22" s="1">
        <v>31930</v>
      </c>
      <c r="G22" s="1">
        <v>32455</v>
      </c>
      <c r="H22" t="s">
        <v>170</v>
      </c>
      <c r="I22" s="4">
        <v>75.2</v>
      </c>
      <c r="J22" s="4">
        <v>22.1</v>
      </c>
      <c r="K22">
        <v>100</v>
      </c>
      <c r="L22" s="4">
        <f>I22-J22</f>
        <v>53.1</v>
      </c>
      <c r="M22">
        <f t="shared" si="1"/>
        <v>0.53100000000000003</v>
      </c>
      <c r="N22" s="4">
        <v>63.36</v>
      </c>
      <c r="O22" s="4">
        <v>30.68</v>
      </c>
      <c r="P22">
        <v>100</v>
      </c>
      <c r="Q22" s="4">
        <f>N22-O22</f>
        <v>32.68</v>
      </c>
      <c r="R22">
        <f t="shared" si="3"/>
        <v>0.32679999999999998</v>
      </c>
      <c r="S22">
        <v>1</v>
      </c>
    </row>
    <row r="23" spans="1:19" x14ac:dyDescent="0.3">
      <c r="A23" t="s">
        <v>53</v>
      </c>
      <c r="B23" t="s">
        <v>54</v>
      </c>
      <c r="C23" t="s">
        <v>12</v>
      </c>
      <c r="D23" s="1">
        <v>31904</v>
      </c>
      <c r="E23" s="1">
        <v>31904</v>
      </c>
      <c r="F23" s="1">
        <v>32007</v>
      </c>
      <c r="G23" s="1">
        <v>32455</v>
      </c>
      <c r="H23" t="s">
        <v>171</v>
      </c>
      <c r="I23" s="4">
        <v>53.5</v>
      </c>
      <c r="J23" s="4">
        <v>46.5</v>
      </c>
      <c r="K23">
        <f t="shared" si="5"/>
        <v>100</v>
      </c>
      <c r="L23" s="4">
        <f t="shared" ref="L23:L76" si="6">I23-J23</f>
        <v>7</v>
      </c>
      <c r="M23">
        <f t="shared" si="1"/>
        <v>7.0000000000000007E-2</v>
      </c>
      <c r="N23" s="4">
        <v>57.17</v>
      </c>
      <c r="O23" s="4">
        <v>42.2</v>
      </c>
      <c r="P23">
        <v>100</v>
      </c>
      <c r="Q23" s="4">
        <f t="shared" si="2"/>
        <v>14.969999999999999</v>
      </c>
      <c r="R23">
        <f t="shared" si="3"/>
        <v>0.1497</v>
      </c>
    </row>
    <row r="24" spans="1:19" x14ac:dyDescent="0.3">
      <c r="A24" t="s">
        <v>55</v>
      </c>
      <c r="B24" t="s">
        <v>56</v>
      </c>
      <c r="C24" t="s">
        <v>9</v>
      </c>
      <c r="D24" s="1">
        <v>32165</v>
      </c>
      <c r="E24" s="1">
        <v>32165</v>
      </c>
      <c r="F24" s="1">
        <v>32308</v>
      </c>
      <c r="G24" s="1">
        <v>32455</v>
      </c>
      <c r="H24" t="s">
        <v>172</v>
      </c>
      <c r="I24" s="4">
        <v>81.5</v>
      </c>
      <c r="J24" s="4">
        <v>18.5</v>
      </c>
      <c r="K24">
        <f t="shared" si="5"/>
        <v>100</v>
      </c>
      <c r="L24" s="4">
        <f t="shared" si="6"/>
        <v>63</v>
      </c>
      <c r="M24">
        <f t="shared" si="1"/>
        <v>0.63</v>
      </c>
      <c r="N24" s="4">
        <v>59.3</v>
      </c>
      <c r="O24" s="4">
        <v>40.700000000000003</v>
      </c>
      <c r="P24">
        <f t="shared" si="4"/>
        <v>100</v>
      </c>
      <c r="Q24" s="4">
        <f t="shared" si="2"/>
        <v>18.599999999999994</v>
      </c>
      <c r="R24">
        <f t="shared" si="3"/>
        <v>0.18599999999999994</v>
      </c>
    </row>
    <row r="25" spans="1:19" x14ac:dyDescent="0.3">
      <c r="A25" t="s">
        <v>57</v>
      </c>
      <c r="B25" t="s">
        <v>58</v>
      </c>
      <c r="C25" t="s">
        <v>9</v>
      </c>
      <c r="D25" s="1">
        <v>32255</v>
      </c>
      <c r="E25" s="1">
        <v>32255</v>
      </c>
      <c r="F25" s="1">
        <v>32364</v>
      </c>
      <c r="G25" s="1">
        <v>32455</v>
      </c>
      <c r="H25" t="s">
        <v>173</v>
      </c>
      <c r="I25" s="4">
        <v>50.4</v>
      </c>
      <c r="J25" s="4">
        <v>49.6</v>
      </c>
      <c r="K25">
        <f t="shared" si="5"/>
        <v>100</v>
      </c>
      <c r="L25" s="4">
        <f t="shared" si="6"/>
        <v>0.79999999999999716</v>
      </c>
      <c r="M25">
        <f t="shared" si="1"/>
        <v>7.9999999999999724E-3</v>
      </c>
      <c r="N25" s="4">
        <v>51</v>
      </c>
      <c r="O25" s="4">
        <v>49</v>
      </c>
      <c r="P25">
        <f t="shared" si="4"/>
        <v>100</v>
      </c>
      <c r="Q25" s="4">
        <f t="shared" si="2"/>
        <v>2</v>
      </c>
      <c r="R25">
        <f t="shared" si="3"/>
        <v>0.02</v>
      </c>
    </row>
    <row r="26" spans="1:19" x14ac:dyDescent="0.3">
      <c r="A26" t="s">
        <v>59</v>
      </c>
      <c r="B26" t="s">
        <v>60</v>
      </c>
      <c r="C26" t="s">
        <v>9</v>
      </c>
      <c r="D26" s="1">
        <v>32227</v>
      </c>
      <c r="E26" s="1">
        <v>32227</v>
      </c>
      <c r="F26" s="1">
        <v>32455</v>
      </c>
      <c r="G26" s="1">
        <v>32455</v>
      </c>
      <c r="H26" t="s">
        <v>174</v>
      </c>
      <c r="I26" s="4">
        <v>58.7</v>
      </c>
      <c r="J26" s="4">
        <v>41.3</v>
      </c>
      <c r="K26">
        <f t="shared" si="5"/>
        <v>100</v>
      </c>
      <c r="L26" s="4">
        <f t="shared" si="6"/>
        <v>17.400000000000006</v>
      </c>
      <c r="M26">
        <f t="shared" si="1"/>
        <v>0.17400000000000004</v>
      </c>
      <c r="N26" s="4">
        <v>51.6</v>
      </c>
      <c r="O26" s="4">
        <v>47.4</v>
      </c>
      <c r="P26">
        <v>100</v>
      </c>
      <c r="Q26" s="4">
        <f t="shared" si="2"/>
        <v>4.2000000000000028</v>
      </c>
      <c r="R26">
        <f t="shared" si="3"/>
        <v>4.200000000000003E-2</v>
      </c>
    </row>
    <row r="27" spans="1:19" x14ac:dyDescent="0.3">
      <c r="A27" t="s">
        <v>61</v>
      </c>
      <c r="B27" t="s">
        <v>62</v>
      </c>
      <c r="C27" t="s">
        <v>12</v>
      </c>
      <c r="D27" s="1">
        <v>32315</v>
      </c>
      <c r="E27" s="1">
        <v>32315</v>
      </c>
      <c r="F27" s="1">
        <v>32455</v>
      </c>
      <c r="G27" s="1">
        <v>32455</v>
      </c>
      <c r="H27" t="s">
        <v>175</v>
      </c>
      <c r="I27" s="4">
        <v>76.2</v>
      </c>
      <c r="J27" s="4">
        <v>23.8</v>
      </c>
      <c r="K27">
        <f t="shared" si="5"/>
        <v>100</v>
      </c>
      <c r="L27" s="4">
        <f t="shared" si="6"/>
        <v>52.400000000000006</v>
      </c>
      <c r="M27">
        <f t="shared" si="1"/>
        <v>0.52400000000000002</v>
      </c>
      <c r="N27" s="4">
        <v>56.2</v>
      </c>
      <c r="O27" s="4">
        <v>43.8</v>
      </c>
      <c r="P27">
        <f t="shared" si="4"/>
        <v>100</v>
      </c>
      <c r="Q27" s="4">
        <f t="shared" si="2"/>
        <v>12.400000000000006</v>
      </c>
      <c r="R27">
        <f t="shared" si="3"/>
        <v>0.12400000000000005</v>
      </c>
    </row>
    <row r="28" spans="1:19" x14ac:dyDescent="0.3">
      <c r="A28" t="s">
        <v>63</v>
      </c>
      <c r="B28" t="s">
        <v>64</v>
      </c>
      <c r="C28" t="s">
        <v>9</v>
      </c>
      <c r="D28" s="1">
        <v>32490</v>
      </c>
      <c r="E28" s="1">
        <v>32490</v>
      </c>
      <c r="F28" s="1">
        <v>32602</v>
      </c>
      <c r="G28" s="1">
        <v>33183</v>
      </c>
      <c r="H28" t="s">
        <v>176</v>
      </c>
      <c r="I28" s="4">
        <v>96.1</v>
      </c>
      <c r="J28" s="4">
        <v>3.9</v>
      </c>
      <c r="K28">
        <f t="shared" si="5"/>
        <v>100</v>
      </c>
      <c r="L28" s="4">
        <f t="shared" si="6"/>
        <v>92.199999999999989</v>
      </c>
      <c r="M28">
        <f t="shared" si="1"/>
        <v>0.92199999999999993</v>
      </c>
      <c r="N28" s="4">
        <v>65.290000000000006</v>
      </c>
      <c r="O28" s="4">
        <v>34.71</v>
      </c>
      <c r="P28">
        <f t="shared" si="4"/>
        <v>100</v>
      </c>
      <c r="Q28" s="4">
        <f t="shared" si="2"/>
        <v>30.580000000000005</v>
      </c>
      <c r="R28">
        <f t="shared" si="3"/>
        <v>0.30580000000000007</v>
      </c>
    </row>
    <row r="29" spans="1:19" x14ac:dyDescent="0.3">
      <c r="A29" t="s">
        <v>65</v>
      </c>
      <c r="B29" t="s">
        <v>66</v>
      </c>
      <c r="C29" t="s">
        <v>9</v>
      </c>
      <c r="D29" s="1">
        <v>32658</v>
      </c>
      <c r="E29" s="1">
        <v>32658</v>
      </c>
      <c r="F29" s="1">
        <v>32749</v>
      </c>
      <c r="G29" s="1">
        <v>33183</v>
      </c>
      <c r="H29" t="s">
        <v>177</v>
      </c>
      <c r="I29" s="4">
        <v>100</v>
      </c>
      <c r="J29" s="4">
        <v>0</v>
      </c>
      <c r="K29">
        <f t="shared" si="5"/>
        <v>100</v>
      </c>
      <c r="L29" s="4">
        <f t="shared" si="6"/>
        <v>100</v>
      </c>
      <c r="M29">
        <f t="shared" si="1"/>
        <v>1</v>
      </c>
      <c r="N29" s="4">
        <v>53.14</v>
      </c>
      <c r="O29" s="4">
        <v>46.85</v>
      </c>
      <c r="P29">
        <v>100</v>
      </c>
      <c r="Q29" s="4">
        <f t="shared" si="2"/>
        <v>6.2899999999999991</v>
      </c>
      <c r="R29">
        <f t="shared" si="3"/>
        <v>6.2899999999999998E-2</v>
      </c>
    </row>
    <row r="30" spans="1:19" x14ac:dyDescent="0.3">
      <c r="A30" t="s">
        <v>67</v>
      </c>
      <c r="B30" t="s">
        <v>68</v>
      </c>
      <c r="C30" t="s">
        <v>12</v>
      </c>
      <c r="D30" s="1">
        <v>32733</v>
      </c>
      <c r="E30" s="1">
        <v>32733</v>
      </c>
      <c r="F30" s="1">
        <v>32798</v>
      </c>
      <c r="G30" s="1">
        <v>33183</v>
      </c>
      <c r="H30" t="s">
        <v>178</v>
      </c>
      <c r="I30" s="4">
        <v>55</v>
      </c>
      <c r="J30" s="4">
        <v>45</v>
      </c>
      <c r="K30">
        <f t="shared" si="5"/>
        <v>100</v>
      </c>
      <c r="L30" s="4">
        <f t="shared" si="6"/>
        <v>10</v>
      </c>
      <c r="M30">
        <f t="shared" si="1"/>
        <v>0.1</v>
      </c>
      <c r="N30" s="4">
        <v>65</v>
      </c>
      <c r="O30" s="4">
        <v>35</v>
      </c>
      <c r="P30">
        <f t="shared" si="4"/>
        <v>100</v>
      </c>
      <c r="Q30" s="4">
        <f t="shared" si="2"/>
        <v>30</v>
      </c>
      <c r="R30">
        <f t="shared" si="3"/>
        <v>0.3</v>
      </c>
    </row>
    <row r="31" spans="1:19" x14ac:dyDescent="0.3">
      <c r="A31" t="s">
        <v>69</v>
      </c>
      <c r="B31" t="s">
        <v>70</v>
      </c>
      <c r="C31" t="s">
        <v>9</v>
      </c>
      <c r="D31" s="1">
        <v>32727</v>
      </c>
      <c r="E31" s="1">
        <v>32727</v>
      </c>
      <c r="F31" s="1">
        <v>32851</v>
      </c>
      <c r="G31" s="1">
        <v>33183</v>
      </c>
      <c r="H31" t="s">
        <v>179</v>
      </c>
      <c r="I31" s="4">
        <v>92.9</v>
      </c>
      <c r="J31" s="4">
        <v>7.1</v>
      </c>
      <c r="K31">
        <f t="shared" si="5"/>
        <v>100</v>
      </c>
      <c r="L31" s="4">
        <f t="shared" si="6"/>
        <v>85.800000000000011</v>
      </c>
      <c r="M31">
        <f t="shared" si="1"/>
        <v>0.8580000000000001</v>
      </c>
      <c r="N31" s="4">
        <v>56.8</v>
      </c>
      <c r="O31" s="4">
        <v>43.2</v>
      </c>
      <c r="P31">
        <f t="shared" si="4"/>
        <v>100</v>
      </c>
      <c r="Q31" s="4">
        <f t="shared" si="2"/>
        <v>13.599999999999994</v>
      </c>
      <c r="R31">
        <f t="shared" si="3"/>
        <v>0.13599999999999995</v>
      </c>
    </row>
    <row r="32" spans="1:19" x14ac:dyDescent="0.3">
      <c r="A32" t="s">
        <v>72</v>
      </c>
      <c r="B32" t="s">
        <v>73</v>
      </c>
      <c r="C32" t="s">
        <v>12</v>
      </c>
      <c r="D32" s="1">
        <v>33277</v>
      </c>
      <c r="E32" s="1">
        <v>33277</v>
      </c>
      <c r="F32" s="7">
        <v>33393</v>
      </c>
      <c r="G32" s="1">
        <v>33911</v>
      </c>
      <c r="H32" t="s">
        <v>180</v>
      </c>
      <c r="I32" s="4">
        <v>77.5</v>
      </c>
      <c r="J32" s="4">
        <v>22.4</v>
      </c>
      <c r="K32">
        <v>100</v>
      </c>
      <c r="L32" s="4">
        <f t="shared" si="6"/>
        <v>55.1</v>
      </c>
      <c r="M32">
        <f t="shared" si="1"/>
        <v>0.55100000000000005</v>
      </c>
      <c r="N32" s="4">
        <v>49.6</v>
      </c>
      <c r="O32" s="4">
        <v>48.2</v>
      </c>
      <c r="P32">
        <v>100</v>
      </c>
      <c r="Q32" s="4">
        <f t="shared" si="2"/>
        <v>1.3999999999999986</v>
      </c>
      <c r="R32">
        <f t="shared" si="3"/>
        <v>1.3999999999999986E-2</v>
      </c>
    </row>
    <row r="33" spans="1:18" x14ac:dyDescent="0.3">
      <c r="A33" t="s">
        <v>74</v>
      </c>
      <c r="B33" t="s">
        <v>75</v>
      </c>
      <c r="C33" t="s">
        <v>9</v>
      </c>
      <c r="D33" s="1">
        <v>33862</v>
      </c>
      <c r="E33" s="1">
        <v>33862</v>
      </c>
      <c r="F33" s="1">
        <v>33911</v>
      </c>
      <c r="G33" s="1">
        <v>33911</v>
      </c>
      <c r="H33" t="s">
        <v>181</v>
      </c>
      <c r="I33" s="4">
        <v>64.8</v>
      </c>
      <c r="J33" s="4">
        <v>35.200000000000003</v>
      </c>
      <c r="K33">
        <f t="shared" si="5"/>
        <v>100</v>
      </c>
      <c r="L33" s="4">
        <f t="shared" si="6"/>
        <v>29.599999999999994</v>
      </c>
      <c r="M33">
        <f t="shared" si="1"/>
        <v>0.29599999999999993</v>
      </c>
      <c r="N33" s="4">
        <v>56.7</v>
      </c>
      <c r="O33" s="4">
        <v>41.3</v>
      </c>
      <c r="P33">
        <v>100</v>
      </c>
      <c r="Q33" s="4">
        <f t="shared" si="2"/>
        <v>15.400000000000006</v>
      </c>
      <c r="R33">
        <f t="shared" si="3"/>
        <v>0.15400000000000005</v>
      </c>
    </row>
    <row r="34" spans="1:18" x14ac:dyDescent="0.3">
      <c r="A34" t="s">
        <v>76</v>
      </c>
      <c r="B34" t="s">
        <v>77</v>
      </c>
      <c r="C34" t="s">
        <v>9</v>
      </c>
      <c r="D34" s="1">
        <v>33861</v>
      </c>
      <c r="E34" s="1">
        <v>33861</v>
      </c>
      <c r="F34" s="1">
        <v>33911</v>
      </c>
      <c r="G34" s="1">
        <v>33911</v>
      </c>
      <c r="H34" t="s">
        <v>182</v>
      </c>
      <c r="I34" s="4">
        <v>80.5</v>
      </c>
      <c r="J34" s="4">
        <v>15.5</v>
      </c>
      <c r="K34">
        <v>100</v>
      </c>
      <c r="L34" s="4">
        <f t="shared" si="6"/>
        <v>65</v>
      </c>
      <c r="M34">
        <f t="shared" si="1"/>
        <v>0.65</v>
      </c>
      <c r="N34" s="4">
        <v>100</v>
      </c>
      <c r="O34" s="4">
        <v>0</v>
      </c>
      <c r="P34">
        <f t="shared" si="4"/>
        <v>100</v>
      </c>
      <c r="Q34" s="4">
        <f t="shared" si="2"/>
        <v>100</v>
      </c>
      <c r="R34">
        <f t="shared" si="3"/>
        <v>1</v>
      </c>
    </row>
    <row r="35" spans="1:18" x14ac:dyDescent="0.3">
      <c r="A35" t="s">
        <v>78</v>
      </c>
      <c r="B35" t="s">
        <v>79</v>
      </c>
      <c r="C35" t="s">
        <v>12</v>
      </c>
      <c r="D35" s="1">
        <v>34181</v>
      </c>
      <c r="E35" s="1">
        <v>34181</v>
      </c>
      <c r="F35" s="1">
        <v>34310</v>
      </c>
      <c r="G35" s="1">
        <v>34646</v>
      </c>
      <c r="H35" t="s">
        <v>183</v>
      </c>
      <c r="I35" s="4">
        <v>61.3</v>
      </c>
      <c r="J35" s="4">
        <v>38.200000000000003</v>
      </c>
      <c r="K35">
        <v>100</v>
      </c>
      <c r="L35" s="4">
        <f t="shared" si="6"/>
        <v>23.099999999999994</v>
      </c>
      <c r="M35">
        <f t="shared" si="1"/>
        <v>0.23099999999999996</v>
      </c>
      <c r="N35" s="4">
        <v>66.62</v>
      </c>
      <c r="O35" s="4">
        <v>23.17</v>
      </c>
      <c r="P35">
        <v>100</v>
      </c>
      <c r="Q35" s="4">
        <f t="shared" si="2"/>
        <v>43.45</v>
      </c>
      <c r="R35">
        <f t="shared" si="3"/>
        <v>0.43450000000000005</v>
      </c>
    </row>
    <row r="36" spans="1:18" x14ac:dyDescent="0.3">
      <c r="A36" t="s">
        <v>80</v>
      </c>
      <c r="B36" t="s">
        <v>81</v>
      </c>
      <c r="C36" t="s">
        <v>9</v>
      </c>
      <c r="D36" s="1">
        <v>34422</v>
      </c>
      <c r="E36" s="1">
        <v>34422</v>
      </c>
      <c r="F36" s="1">
        <v>34478</v>
      </c>
      <c r="G36" s="1">
        <v>34646</v>
      </c>
      <c r="H36" t="s">
        <v>184</v>
      </c>
      <c r="I36" s="4">
        <v>61.4</v>
      </c>
      <c r="J36" s="4">
        <v>38.6</v>
      </c>
      <c r="K36">
        <f t="shared" si="5"/>
        <v>100</v>
      </c>
      <c r="L36" s="4">
        <f t="shared" si="6"/>
        <v>22.799999999999997</v>
      </c>
      <c r="M36">
        <f t="shared" si="1"/>
        <v>0.22799999999999998</v>
      </c>
      <c r="N36" s="4">
        <v>55.1</v>
      </c>
      <c r="O36" s="4">
        <v>44.8</v>
      </c>
      <c r="P36">
        <f t="shared" si="4"/>
        <v>99.9</v>
      </c>
      <c r="Q36" s="4">
        <f t="shared" si="2"/>
        <v>10.300000000000004</v>
      </c>
      <c r="R36">
        <f t="shared" si="3"/>
        <v>0.10310310310310314</v>
      </c>
    </row>
    <row r="37" spans="1:18" x14ac:dyDescent="0.3">
      <c r="A37" t="s">
        <v>82</v>
      </c>
      <c r="B37" t="s">
        <v>83</v>
      </c>
      <c r="C37" t="s">
        <v>12</v>
      </c>
      <c r="D37" s="1">
        <v>34644</v>
      </c>
      <c r="E37" s="1">
        <v>34644</v>
      </c>
      <c r="F37" s="1">
        <v>34646</v>
      </c>
      <c r="G37" s="1">
        <v>34646</v>
      </c>
      <c r="H37" s="6" t="s">
        <v>237</v>
      </c>
      <c r="I37" s="4">
        <v>70.099999999999994</v>
      </c>
      <c r="J37" s="4">
        <v>25.7</v>
      </c>
      <c r="K37">
        <v>100</v>
      </c>
      <c r="L37" s="4">
        <f t="shared" si="6"/>
        <v>44.399999999999991</v>
      </c>
      <c r="M37">
        <f t="shared" si="1"/>
        <v>0.44399999999999989</v>
      </c>
      <c r="N37" s="4">
        <v>71.2</v>
      </c>
      <c r="O37" s="4">
        <v>28</v>
      </c>
      <c r="P37">
        <v>100</v>
      </c>
      <c r="Q37" s="4">
        <f t="shared" si="2"/>
        <v>43.2</v>
      </c>
      <c r="R37">
        <f t="shared" si="3"/>
        <v>0.43200000000000005</v>
      </c>
    </row>
    <row r="38" spans="1:18" x14ac:dyDescent="0.3">
      <c r="A38" t="s">
        <v>86</v>
      </c>
      <c r="B38" t="s">
        <v>87</v>
      </c>
      <c r="C38" t="s">
        <v>12</v>
      </c>
      <c r="D38" s="1">
        <v>35238</v>
      </c>
      <c r="E38" s="1">
        <v>35238</v>
      </c>
      <c r="F38" s="1">
        <v>35374</v>
      </c>
      <c r="G38" s="1">
        <v>35374</v>
      </c>
      <c r="H38" t="s">
        <v>185</v>
      </c>
      <c r="I38" s="4">
        <v>70.099999999999994</v>
      </c>
      <c r="J38" s="4">
        <v>26.6</v>
      </c>
      <c r="K38">
        <v>100</v>
      </c>
      <c r="L38" s="4">
        <f t="shared" si="6"/>
        <v>43.499999999999993</v>
      </c>
      <c r="M38">
        <f t="shared" si="1"/>
        <v>0.43499999999999994</v>
      </c>
      <c r="N38" s="4">
        <v>50.47</v>
      </c>
      <c r="O38" s="4">
        <v>37.28</v>
      </c>
      <c r="P38">
        <v>100</v>
      </c>
      <c r="Q38" s="4">
        <f t="shared" si="2"/>
        <v>13.189999999999998</v>
      </c>
      <c r="R38">
        <f t="shared" si="3"/>
        <v>0.13189999999999999</v>
      </c>
    </row>
    <row r="39" spans="1:18" x14ac:dyDescent="0.3">
      <c r="A39" t="s">
        <v>88</v>
      </c>
      <c r="B39" t="s">
        <v>89</v>
      </c>
      <c r="C39" t="s">
        <v>9</v>
      </c>
      <c r="D39" s="1">
        <v>35460</v>
      </c>
      <c r="E39" s="1">
        <v>35460</v>
      </c>
      <c r="F39" s="1">
        <v>35532</v>
      </c>
      <c r="G39" s="1">
        <v>36102</v>
      </c>
      <c r="H39" t="s">
        <v>186</v>
      </c>
      <c r="I39" s="4">
        <v>75.37</v>
      </c>
      <c r="J39" s="4">
        <v>23.4</v>
      </c>
      <c r="K39">
        <v>100</v>
      </c>
      <c r="L39" s="4">
        <f t="shared" si="6"/>
        <v>51.970000000000006</v>
      </c>
      <c r="M39">
        <f t="shared" si="1"/>
        <v>0.51970000000000005</v>
      </c>
      <c r="N39" s="4">
        <v>66.680000000000007</v>
      </c>
      <c r="O39" s="4">
        <v>33.32</v>
      </c>
      <c r="P39">
        <f t="shared" si="4"/>
        <v>100</v>
      </c>
      <c r="Q39" s="4">
        <f t="shared" si="2"/>
        <v>33.360000000000007</v>
      </c>
      <c r="R39">
        <f t="shared" si="3"/>
        <v>0.33360000000000006</v>
      </c>
    </row>
    <row r="40" spans="1:18" x14ac:dyDescent="0.3">
      <c r="A40" t="s">
        <v>90</v>
      </c>
      <c r="B40" t="s">
        <v>91</v>
      </c>
      <c r="C40" t="s">
        <v>9</v>
      </c>
      <c r="D40" s="1">
        <v>35731</v>
      </c>
      <c r="E40" s="1">
        <v>35731</v>
      </c>
      <c r="F40" s="1">
        <v>35864</v>
      </c>
      <c r="G40" s="1">
        <v>36102</v>
      </c>
      <c r="H40" t="s">
        <v>187</v>
      </c>
      <c r="I40" s="4">
        <v>48.45</v>
      </c>
      <c r="J40" s="4">
        <v>44.22</v>
      </c>
      <c r="K40">
        <v>100</v>
      </c>
      <c r="L40" s="4">
        <f t="shared" si="6"/>
        <v>4.230000000000004</v>
      </c>
      <c r="M40">
        <f t="shared" si="1"/>
        <v>4.2300000000000039E-2</v>
      </c>
      <c r="N40" s="4">
        <v>53.46</v>
      </c>
      <c r="O40" s="4">
        <v>44.78</v>
      </c>
      <c r="P40">
        <v>100</v>
      </c>
      <c r="Q40" s="4">
        <f t="shared" si="2"/>
        <v>8.68</v>
      </c>
      <c r="R40">
        <f t="shared" si="3"/>
        <v>8.6800000000000002E-2</v>
      </c>
    </row>
    <row r="41" spans="1:18" x14ac:dyDescent="0.3">
      <c r="A41" t="s">
        <v>92</v>
      </c>
      <c r="B41" t="s">
        <v>93</v>
      </c>
      <c r="C41" t="s">
        <v>12</v>
      </c>
      <c r="D41" s="1">
        <v>35800</v>
      </c>
      <c r="E41" s="1">
        <v>35800</v>
      </c>
      <c r="F41" s="1">
        <v>35892</v>
      </c>
      <c r="G41" s="1">
        <v>36102</v>
      </c>
      <c r="H41" t="s">
        <v>188</v>
      </c>
      <c r="I41" s="4">
        <v>57.74</v>
      </c>
      <c r="J41" s="4">
        <v>38.54</v>
      </c>
      <c r="K41">
        <v>100</v>
      </c>
      <c r="L41" s="4">
        <f t="shared" si="6"/>
        <v>19.200000000000003</v>
      </c>
      <c r="M41">
        <f t="shared" si="1"/>
        <v>0.19200000000000003</v>
      </c>
      <c r="N41" s="4">
        <v>63.98</v>
      </c>
      <c r="O41" s="4">
        <v>28.84</v>
      </c>
      <c r="P41">
        <v>100</v>
      </c>
      <c r="Q41" s="4">
        <f t="shared" si="2"/>
        <v>35.14</v>
      </c>
      <c r="R41">
        <f t="shared" si="3"/>
        <v>0.35139999999999999</v>
      </c>
    </row>
    <row r="42" spans="1:18" x14ac:dyDescent="0.3">
      <c r="A42" t="s">
        <v>94</v>
      </c>
      <c r="B42" t="s">
        <v>95</v>
      </c>
      <c r="C42" t="s">
        <v>12</v>
      </c>
      <c r="D42" s="1">
        <v>35879</v>
      </c>
      <c r="E42" s="1">
        <v>35879</v>
      </c>
      <c r="F42" s="1">
        <v>35969</v>
      </c>
      <c r="G42" s="1">
        <v>36102</v>
      </c>
      <c r="H42" t="s">
        <v>189</v>
      </c>
      <c r="I42" s="4">
        <v>56.6</v>
      </c>
      <c r="J42" s="4">
        <v>37.1</v>
      </c>
      <c r="K42">
        <v>100</v>
      </c>
      <c r="L42" s="4">
        <f t="shared" si="6"/>
        <v>19.5</v>
      </c>
      <c r="M42">
        <f t="shared" si="1"/>
        <v>0.19500000000000001</v>
      </c>
      <c r="N42" s="4">
        <v>44.58</v>
      </c>
      <c r="O42" s="4">
        <v>39.61</v>
      </c>
      <c r="P42">
        <v>100</v>
      </c>
      <c r="Q42" s="4">
        <f t="shared" si="2"/>
        <v>4.9699999999999989</v>
      </c>
      <c r="R42">
        <f t="shared" si="3"/>
        <v>4.9699999999999987E-2</v>
      </c>
    </row>
    <row r="43" spans="1:18" x14ac:dyDescent="0.3">
      <c r="A43" t="s">
        <v>96</v>
      </c>
      <c r="B43" t="s">
        <v>97</v>
      </c>
      <c r="C43" t="s">
        <v>9</v>
      </c>
      <c r="D43" s="1">
        <v>36356</v>
      </c>
      <c r="E43" s="1">
        <v>36356</v>
      </c>
      <c r="F43" s="1">
        <v>36480</v>
      </c>
      <c r="G43" s="1">
        <v>36837</v>
      </c>
      <c r="H43" t="s">
        <v>190</v>
      </c>
      <c r="I43" s="4">
        <v>55.3</v>
      </c>
      <c r="J43" s="4">
        <v>40.299999999999997</v>
      </c>
      <c r="K43">
        <v>100</v>
      </c>
      <c r="L43" s="4">
        <f t="shared" si="6"/>
        <v>15</v>
      </c>
      <c r="M43">
        <f t="shared" si="1"/>
        <v>0.15</v>
      </c>
      <c r="N43" s="4">
        <v>50.55</v>
      </c>
      <c r="O43" s="4">
        <v>44.85</v>
      </c>
      <c r="P43">
        <v>100</v>
      </c>
      <c r="Q43" s="4">
        <f t="shared" si="2"/>
        <v>5.6999999999999957</v>
      </c>
      <c r="R43">
        <f t="shared" si="3"/>
        <v>5.699999999999996E-2</v>
      </c>
    </row>
    <row r="44" spans="1:18" x14ac:dyDescent="0.3">
      <c r="A44" t="s">
        <v>17</v>
      </c>
      <c r="B44" t="s">
        <v>98</v>
      </c>
      <c r="C44" t="s">
        <v>9</v>
      </c>
      <c r="D44" s="1">
        <v>36809</v>
      </c>
      <c r="E44" s="1">
        <v>36809</v>
      </c>
      <c r="F44" s="1">
        <v>36837</v>
      </c>
      <c r="G44" s="1">
        <v>36837</v>
      </c>
      <c r="H44" s="6" t="s">
        <v>238</v>
      </c>
      <c r="I44" s="4">
        <v>53.7</v>
      </c>
      <c r="J44" s="4">
        <v>39.799999999999997</v>
      </c>
      <c r="K44">
        <v>100</v>
      </c>
      <c r="L44" s="4">
        <f t="shared" si="6"/>
        <v>13.900000000000006</v>
      </c>
      <c r="M44">
        <f t="shared" si="1"/>
        <v>0.13900000000000007</v>
      </c>
      <c r="N44" s="4">
        <v>48</v>
      </c>
      <c r="O44" s="4">
        <v>30.9</v>
      </c>
      <c r="P44">
        <v>100</v>
      </c>
      <c r="Q44" s="4">
        <f t="shared" si="2"/>
        <v>17.100000000000001</v>
      </c>
      <c r="R44">
        <f t="shared" si="3"/>
        <v>0.17100000000000001</v>
      </c>
    </row>
    <row r="45" spans="1:18" x14ac:dyDescent="0.3">
      <c r="A45" t="s">
        <v>99</v>
      </c>
      <c r="B45" t="s">
        <v>100</v>
      </c>
      <c r="C45" t="s">
        <v>12</v>
      </c>
      <c r="D45" s="1">
        <v>36780</v>
      </c>
      <c r="E45" s="1">
        <v>36780</v>
      </c>
      <c r="F45" s="1">
        <v>36837</v>
      </c>
      <c r="G45" s="1">
        <v>36837</v>
      </c>
      <c r="H45" s="6" t="s">
        <v>116</v>
      </c>
      <c r="I45" s="4">
        <v>76.400000000000006</v>
      </c>
      <c r="J45" s="4">
        <v>13.2</v>
      </c>
      <c r="K45">
        <v>100</v>
      </c>
      <c r="L45" s="4">
        <f t="shared" si="6"/>
        <v>63.2</v>
      </c>
      <c r="M45">
        <f t="shared" si="1"/>
        <v>0.63200000000000001</v>
      </c>
      <c r="N45" s="4">
        <v>57.6</v>
      </c>
      <c r="O45" s="4">
        <v>37</v>
      </c>
      <c r="P45">
        <v>100</v>
      </c>
      <c r="Q45" s="4">
        <f t="shared" si="2"/>
        <v>20.6</v>
      </c>
      <c r="R45">
        <f t="shared" si="3"/>
        <v>0.20600000000000002</v>
      </c>
    </row>
    <row r="46" spans="1:18" x14ac:dyDescent="0.3">
      <c r="A46" t="s">
        <v>101</v>
      </c>
      <c r="B46" t="s">
        <v>102</v>
      </c>
      <c r="C46" t="s">
        <v>9</v>
      </c>
      <c r="D46" s="1">
        <v>36868</v>
      </c>
      <c r="E46" s="1">
        <v>36868</v>
      </c>
      <c r="F46" s="1">
        <v>37047</v>
      </c>
      <c r="G46" s="1">
        <v>37565</v>
      </c>
      <c r="H46" t="s">
        <v>191</v>
      </c>
      <c r="I46" s="4">
        <v>83.6</v>
      </c>
      <c r="J46" s="4">
        <v>12.2</v>
      </c>
      <c r="K46">
        <v>100</v>
      </c>
      <c r="L46" s="4">
        <f t="shared" si="6"/>
        <v>71.399999999999991</v>
      </c>
      <c r="M46">
        <f t="shared" si="1"/>
        <v>0.71399999999999997</v>
      </c>
      <c r="N46" s="4">
        <v>74.81</v>
      </c>
      <c r="O46" s="4">
        <v>19.89</v>
      </c>
      <c r="P46">
        <v>100</v>
      </c>
      <c r="Q46" s="4">
        <f t="shared" si="2"/>
        <v>54.92</v>
      </c>
      <c r="R46">
        <f t="shared" si="3"/>
        <v>0.54920000000000002</v>
      </c>
    </row>
    <row r="47" spans="1:18" x14ac:dyDescent="0.3">
      <c r="A47" t="s">
        <v>103</v>
      </c>
      <c r="B47" t="s">
        <v>104</v>
      </c>
      <c r="C47" t="s">
        <v>9</v>
      </c>
      <c r="D47" s="1">
        <v>36979</v>
      </c>
      <c r="E47" s="1">
        <v>36979</v>
      </c>
      <c r="F47" s="1">
        <v>37061</v>
      </c>
      <c r="G47" s="1">
        <v>37565</v>
      </c>
      <c r="H47" t="s">
        <v>192</v>
      </c>
      <c r="I47" s="4">
        <v>100</v>
      </c>
      <c r="J47" s="4">
        <v>0</v>
      </c>
      <c r="K47">
        <f t="shared" si="5"/>
        <v>100</v>
      </c>
      <c r="L47" s="4">
        <f t="shared" si="6"/>
        <v>100</v>
      </c>
      <c r="M47">
        <f t="shared" si="1"/>
        <v>1</v>
      </c>
      <c r="N47" s="4">
        <v>52.02</v>
      </c>
      <c r="O47" s="4">
        <v>47.82</v>
      </c>
      <c r="P47">
        <v>100</v>
      </c>
      <c r="Q47" s="4">
        <f t="shared" si="2"/>
        <v>4.2000000000000028</v>
      </c>
      <c r="R47">
        <f t="shared" si="3"/>
        <v>4.200000000000003E-2</v>
      </c>
    </row>
    <row r="48" spans="1:18" x14ac:dyDescent="0.3">
      <c r="A48" t="s">
        <v>105</v>
      </c>
      <c r="B48" t="s">
        <v>106</v>
      </c>
      <c r="C48" t="s">
        <v>9</v>
      </c>
      <c r="D48" s="1">
        <v>37039</v>
      </c>
      <c r="E48" s="1">
        <v>37039</v>
      </c>
      <c r="F48" s="1">
        <v>37180</v>
      </c>
      <c r="G48" s="1">
        <v>37565</v>
      </c>
      <c r="H48" t="s">
        <v>193</v>
      </c>
      <c r="I48" s="4">
        <v>78</v>
      </c>
      <c r="J48" s="4">
        <v>20</v>
      </c>
      <c r="K48">
        <v>100</v>
      </c>
      <c r="L48" s="4">
        <f t="shared" si="6"/>
        <v>58</v>
      </c>
      <c r="M48">
        <f t="shared" si="1"/>
        <v>0.57999999999999996</v>
      </c>
      <c r="N48" s="4">
        <v>64.97</v>
      </c>
      <c r="O48" s="4">
        <v>32.729999999999997</v>
      </c>
      <c r="P48">
        <v>100</v>
      </c>
      <c r="Q48" s="4">
        <f t="shared" si="2"/>
        <v>32.24</v>
      </c>
      <c r="R48">
        <f t="shared" si="3"/>
        <v>0.32240000000000002</v>
      </c>
    </row>
    <row r="49" spans="1:18" x14ac:dyDescent="0.3">
      <c r="A49" t="s">
        <v>107</v>
      </c>
      <c r="B49" t="s">
        <v>108</v>
      </c>
      <c r="C49" t="s">
        <v>12</v>
      </c>
      <c r="D49" s="1">
        <v>37119</v>
      </c>
      <c r="E49" s="1">
        <v>37119</v>
      </c>
      <c r="F49" s="1">
        <v>37243</v>
      </c>
      <c r="G49" s="1">
        <v>37565</v>
      </c>
      <c r="H49" t="s">
        <v>194</v>
      </c>
      <c r="I49" s="4">
        <v>58</v>
      </c>
      <c r="J49" s="4">
        <v>41</v>
      </c>
      <c r="K49">
        <v>100</v>
      </c>
      <c r="L49" s="4">
        <f t="shared" si="6"/>
        <v>17</v>
      </c>
      <c r="M49">
        <f t="shared" si="1"/>
        <v>0.17</v>
      </c>
      <c r="N49" s="4">
        <v>73.09</v>
      </c>
      <c r="O49" s="4">
        <v>25.42</v>
      </c>
      <c r="P49">
        <v>100</v>
      </c>
      <c r="Q49" s="4">
        <f t="shared" si="2"/>
        <v>47.67</v>
      </c>
      <c r="R49">
        <f t="shared" si="3"/>
        <v>0.47670000000000001</v>
      </c>
    </row>
    <row r="50" spans="1:18" s="2" customFormat="1" x14ac:dyDescent="0.3">
      <c r="A50" s="2" t="s">
        <v>71</v>
      </c>
      <c r="B50" s="2" t="s">
        <v>109</v>
      </c>
      <c r="C50" s="2" t="s">
        <v>9</v>
      </c>
      <c r="D50" s="3">
        <v>37527</v>
      </c>
      <c r="E50" s="3">
        <v>37527</v>
      </c>
      <c r="F50" s="3">
        <v>37625</v>
      </c>
      <c r="G50" s="3">
        <v>37565</v>
      </c>
      <c r="H50" s="2" t="s">
        <v>195</v>
      </c>
      <c r="I50" s="5">
        <v>57.3</v>
      </c>
      <c r="J50" s="5">
        <v>33.4</v>
      </c>
      <c r="K50">
        <v>100</v>
      </c>
      <c r="L50" s="4">
        <f t="shared" si="6"/>
        <v>23.9</v>
      </c>
      <c r="M50">
        <f t="shared" si="1"/>
        <v>0.23899999999999999</v>
      </c>
      <c r="N50" s="5">
        <v>51.44</v>
      </c>
      <c r="O50" s="5">
        <v>36.270000000000003</v>
      </c>
      <c r="P50">
        <v>100</v>
      </c>
      <c r="Q50" s="4">
        <f t="shared" si="2"/>
        <v>15.169999999999995</v>
      </c>
      <c r="R50">
        <f t="shared" si="3"/>
        <v>0.15169999999999995</v>
      </c>
    </row>
    <row r="51" spans="1:18" x14ac:dyDescent="0.3">
      <c r="A51" t="s">
        <v>33</v>
      </c>
      <c r="B51" t="s">
        <v>110</v>
      </c>
      <c r="C51" t="s">
        <v>9</v>
      </c>
      <c r="D51" s="1">
        <v>38353</v>
      </c>
      <c r="E51" s="1">
        <v>38353</v>
      </c>
      <c r="F51" s="1">
        <v>38419</v>
      </c>
      <c r="G51" s="1">
        <v>39028</v>
      </c>
      <c r="H51" t="s">
        <v>196</v>
      </c>
      <c r="I51" s="4">
        <v>71.400000000000006</v>
      </c>
      <c r="J51" s="4">
        <v>23.4</v>
      </c>
      <c r="K51">
        <v>100</v>
      </c>
      <c r="L51" s="4">
        <f t="shared" si="6"/>
        <v>48.000000000000007</v>
      </c>
      <c r="M51">
        <f t="shared" si="1"/>
        <v>0.48000000000000009</v>
      </c>
      <c r="N51" s="4">
        <v>70</v>
      </c>
      <c r="O51" s="4">
        <v>8.92</v>
      </c>
      <c r="P51">
        <v>100</v>
      </c>
      <c r="Q51" s="4">
        <f t="shared" si="2"/>
        <v>61.08</v>
      </c>
      <c r="R51">
        <f t="shared" si="3"/>
        <v>0.61080000000000001</v>
      </c>
    </row>
    <row r="52" spans="1:18" x14ac:dyDescent="0.3">
      <c r="A52" t="s">
        <v>111</v>
      </c>
      <c r="B52" t="s">
        <v>112</v>
      </c>
      <c r="C52" t="s">
        <v>12</v>
      </c>
      <c r="D52" s="1">
        <v>39126</v>
      </c>
      <c r="E52" s="1">
        <v>39126</v>
      </c>
      <c r="F52" s="1">
        <v>39282</v>
      </c>
      <c r="G52" s="1">
        <v>39756</v>
      </c>
      <c r="H52" t="s">
        <v>197</v>
      </c>
      <c r="I52" s="4">
        <v>67.400000000000006</v>
      </c>
      <c r="J52" s="4">
        <v>32.6</v>
      </c>
      <c r="K52">
        <f t="shared" si="5"/>
        <v>100</v>
      </c>
      <c r="L52" s="4">
        <f t="shared" si="6"/>
        <v>34.800000000000004</v>
      </c>
      <c r="M52">
        <f t="shared" si="1"/>
        <v>0.34800000000000003</v>
      </c>
      <c r="N52" s="4">
        <v>50.42</v>
      </c>
      <c r="O52" s="4">
        <v>49.58</v>
      </c>
      <c r="P52">
        <f t="shared" si="4"/>
        <v>100</v>
      </c>
      <c r="Q52" s="4">
        <f t="shared" si="2"/>
        <v>0.84000000000000341</v>
      </c>
      <c r="R52">
        <f t="shared" si="3"/>
        <v>8.4000000000000342E-3</v>
      </c>
    </row>
    <row r="53" spans="1:18" x14ac:dyDescent="0.3">
      <c r="A53" t="s">
        <v>84</v>
      </c>
      <c r="B53" t="s">
        <v>113</v>
      </c>
      <c r="C53" t="s">
        <v>9</v>
      </c>
      <c r="D53" s="1">
        <v>39194</v>
      </c>
      <c r="E53" s="1">
        <v>39194</v>
      </c>
      <c r="F53" s="1">
        <v>39315</v>
      </c>
      <c r="G53" s="1">
        <v>39756</v>
      </c>
      <c r="H53" t="s">
        <v>198</v>
      </c>
      <c r="I53" s="4">
        <v>82.4</v>
      </c>
      <c r="J53" s="4">
        <v>17.600000000000001</v>
      </c>
      <c r="K53">
        <f t="shared" si="5"/>
        <v>100</v>
      </c>
      <c r="L53" s="4">
        <f t="shared" si="6"/>
        <v>64.800000000000011</v>
      </c>
      <c r="M53">
        <f t="shared" si="1"/>
        <v>0.64800000000000013</v>
      </c>
      <c r="N53" s="4">
        <v>65.63</v>
      </c>
      <c r="O53" s="4">
        <v>24.62</v>
      </c>
      <c r="P53">
        <v>100</v>
      </c>
      <c r="Q53" s="4">
        <f t="shared" si="2"/>
        <v>41.009999999999991</v>
      </c>
      <c r="R53">
        <f t="shared" si="3"/>
        <v>0.41009999999999991</v>
      </c>
    </row>
    <row r="54" spans="1:18" x14ac:dyDescent="0.3">
      <c r="A54" t="s">
        <v>114</v>
      </c>
      <c r="B54" t="s">
        <v>115</v>
      </c>
      <c r="C54" t="s">
        <v>12</v>
      </c>
      <c r="D54" s="1">
        <v>39330</v>
      </c>
      <c r="E54" s="1">
        <v>39330</v>
      </c>
      <c r="F54" s="1">
        <v>39427</v>
      </c>
      <c r="G54" s="1">
        <v>39756</v>
      </c>
      <c r="H54" t="s">
        <v>199</v>
      </c>
      <c r="I54" s="4">
        <v>56.9</v>
      </c>
      <c r="J54" s="4">
        <v>43.1</v>
      </c>
      <c r="K54">
        <f t="shared" si="5"/>
        <v>100</v>
      </c>
      <c r="L54" s="4">
        <f t="shared" si="6"/>
        <v>13.799999999999997</v>
      </c>
      <c r="M54">
        <f t="shared" si="1"/>
        <v>0.13799999999999998</v>
      </c>
      <c r="N54" s="4">
        <v>56.96</v>
      </c>
      <c r="O54" s="4">
        <v>42.87</v>
      </c>
      <c r="P54">
        <v>100</v>
      </c>
      <c r="Q54" s="4">
        <f t="shared" si="2"/>
        <v>14.090000000000003</v>
      </c>
      <c r="R54">
        <f t="shared" si="3"/>
        <v>0.14090000000000003</v>
      </c>
    </row>
    <row r="55" spans="1:18" x14ac:dyDescent="0.3">
      <c r="A55" t="s">
        <v>99</v>
      </c>
      <c r="B55" t="s">
        <v>116</v>
      </c>
      <c r="C55" t="s">
        <v>12</v>
      </c>
      <c r="D55" s="1">
        <v>39361</v>
      </c>
      <c r="E55" s="1">
        <v>39361</v>
      </c>
      <c r="F55" s="1">
        <v>39427</v>
      </c>
      <c r="G55" s="1">
        <v>39756</v>
      </c>
      <c r="H55" t="s">
        <v>200</v>
      </c>
      <c r="I55" s="4">
        <v>63</v>
      </c>
      <c r="J55" s="4">
        <v>35.5</v>
      </c>
      <c r="K55">
        <v>100</v>
      </c>
      <c r="L55" s="4">
        <f t="shared" si="6"/>
        <v>27.5</v>
      </c>
      <c r="M55">
        <f t="shared" si="1"/>
        <v>0.27500000000000002</v>
      </c>
      <c r="N55" s="4">
        <v>60.77</v>
      </c>
      <c r="O55" s="4">
        <v>37.340000000000003</v>
      </c>
      <c r="P55">
        <v>100</v>
      </c>
      <c r="Q55" s="4">
        <f t="shared" si="2"/>
        <v>23.43</v>
      </c>
      <c r="R55">
        <f t="shared" si="3"/>
        <v>0.23430000000000001</v>
      </c>
    </row>
    <row r="56" spans="1:18" x14ac:dyDescent="0.3">
      <c r="A56" t="s">
        <v>117</v>
      </c>
      <c r="B56" t="s">
        <v>118</v>
      </c>
      <c r="C56" t="s">
        <v>9</v>
      </c>
      <c r="D56" s="1">
        <v>39431</v>
      </c>
      <c r="E56" s="1">
        <v>39431</v>
      </c>
      <c r="F56" s="1">
        <v>39518</v>
      </c>
      <c r="G56" s="1">
        <v>39756</v>
      </c>
      <c r="H56" t="s">
        <v>201</v>
      </c>
      <c r="I56" s="4">
        <v>53.8</v>
      </c>
      <c r="J56" s="4">
        <v>46.2</v>
      </c>
      <c r="K56">
        <f t="shared" si="5"/>
        <v>100</v>
      </c>
      <c r="L56" s="4">
        <f t="shared" si="6"/>
        <v>7.5999999999999943</v>
      </c>
      <c r="M56">
        <f t="shared" si="1"/>
        <v>7.5999999999999943E-2</v>
      </c>
      <c r="N56" s="4">
        <v>54</v>
      </c>
      <c r="O56" s="4">
        <v>43.07</v>
      </c>
      <c r="P56">
        <v>100</v>
      </c>
      <c r="Q56" s="4">
        <f t="shared" si="2"/>
        <v>10.93</v>
      </c>
      <c r="R56">
        <f t="shared" si="3"/>
        <v>0.10929999999999999</v>
      </c>
    </row>
    <row r="57" spans="1:18" x14ac:dyDescent="0.3">
      <c r="A57" t="s">
        <v>119</v>
      </c>
      <c r="B57" t="s">
        <v>120</v>
      </c>
      <c r="C57" t="s">
        <v>9</v>
      </c>
      <c r="D57" s="1">
        <v>39489</v>
      </c>
      <c r="E57" s="1">
        <v>39489</v>
      </c>
      <c r="F57" s="1">
        <v>39546</v>
      </c>
      <c r="G57" s="1">
        <v>39756</v>
      </c>
      <c r="H57" t="s">
        <v>202</v>
      </c>
      <c r="I57" s="4">
        <v>76.099999999999994</v>
      </c>
      <c r="J57" s="4">
        <v>23.9</v>
      </c>
      <c r="K57">
        <f t="shared" si="5"/>
        <v>100</v>
      </c>
      <c r="L57" s="4">
        <f t="shared" si="6"/>
        <v>52.199999999999996</v>
      </c>
      <c r="M57">
        <f t="shared" si="1"/>
        <v>0.52199999999999991</v>
      </c>
      <c r="N57" s="4">
        <v>77.72</v>
      </c>
      <c r="O57" s="4">
        <v>9.3699999999999992</v>
      </c>
      <c r="P57">
        <v>100</v>
      </c>
      <c r="Q57" s="4">
        <f t="shared" si="2"/>
        <v>68.349999999999994</v>
      </c>
      <c r="R57">
        <f t="shared" si="3"/>
        <v>0.6835</v>
      </c>
    </row>
    <row r="58" spans="1:18" s="2" customFormat="1" x14ac:dyDescent="0.3">
      <c r="A58" s="2" t="s">
        <v>122</v>
      </c>
      <c r="B58" s="2" t="s">
        <v>123</v>
      </c>
      <c r="C58" s="2" t="s">
        <v>9</v>
      </c>
      <c r="D58" s="3">
        <v>39680</v>
      </c>
      <c r="E58" s="3">
        <v>39680</v>
      </c>
      <c r="F58" s="3">
        <v>39770</v>
      </c>
      <c r="G58" s="3">
        <v>39756</v>
      </c>
      <c r="H58" s="2" t="s">
        <v>203</v>
      </c>
      <c r="I58" s="5">
        <v>83.4</v>
      </c>
      <c r="J58" s="5">
        <v>16.600000000000001</v>
      </c>
      <c r="K58">
        <f t="shared" si="5"/>
        <v>100</v>
      </c>
      <c r="L58" s="4">
        <f t="shared" si="6"/>
        <v>66.800000000000011</v>
      </c>
      <c r="M58">
        <f t="shared" si="1"/>
        <v>0.66800000000000015</v>
      </c>
      <c r="N58" s="5">
        <v>100</v>
      </c>
      <c r="O58" s="5">
        <v>0</v>
      </c>
      <c r="P58">
        <f t="shared" si="4"/>
        <v>100</v>
      </c>
      <c r="Q58" s="4">
        <f t="shared" si="2"/>
        <v>100</v>
      </c>
      <c r="R58">
        <f t="shared" si="3"/>
        <v>1</v>
      </c>
    </row>
    <row r="59" spans="1:18" x14ac:dyDescent="0.3">
      <c r="A59" t="s">
        <v>124</v>
      </c>
      <c r="B59" t="s">
        <v>125</v>
      </c>
      <c r="C59" t="s">
        <v>9</v>
      </c>
      <c r="D59" s="1">
        <v>40217</v>
      </c>
      <c r="E59" s="1">
        <v>40217</v>
      </c>
      <c r="F59" s="1">
        <v>40316</v>
      </c>
      <c r="G59" s="1">
        <v>40484</v>
      </c>
      <c r="H59" t="s">
        <v>204</v>
      </c>
      <c r="I59" s="4">
        <v>57.9</v>
      </c>
      <c r="J59" s="4">
        <v>42.1</v>
      </c>
      <c r="K59">
        <f t="shared" si="5"/>
        <v>100</v>
      </c>
      <c r="L59" s="4">
        <f t="shared" si="6"/>
        <v>15.799999999999997</v>
      </c>
      <c r="M59">
        <f t="shared" si="1"/>
        <v>0.15799999999999997</v>
      </c>
      <c r="N59" s="4">
        <v>52.6</v>
      </c>
      <c r="O59" s="4">
        <v>45.1</v>
      </c>
      <c r="P59">
        <v>100</v>
      </c>
      <c r="Q59" s="4">
        <f t="shared" si="2"/>
        <v>7.5</v>
      </c>
      <c r="R59">
        <f t="shared" si="3"/>
        <v>7.4999999999999997E-2</v>
      </c>
    </row>
    <row r="60" spans="1:18" x14ac:dyDescent="0.3">
      <c r="A60" t="s">
        <v>126</v>
      </c>
      <c r="B60" t="s">
        <v>127</v>
      </c>
      <c r="C60" t="s">
        <v>9</v>
      </c>
      <c r="D60" s="1">
        <v>40974</v>
      </c>
      <c r="E60" s="1">
        <v>40974</v>
      </c>
      <c r="F60" s="1">
        <v>41219</v>
      </c>
      <c r="G60" s="1">
        <v>41219</v>
      </c>
      <c r="H60" t="s">
        <v>205</v>
      </c>
      <c r="I60" s="4">
        <v>85.2</v>
      </c>
      <c r="J60" s="4">
        <v>12.8</v>
      </c>
      <c r="K60">
        <v>100</v>
      </c>
      <c r="L60" s="4">
        <f t="shared" si="6"/>
        <v>72.400000000000006</v>
      </c>
      <c r="M60">
        <f t="shared" si="1"/>
        <v>0.72400000000000009</v>
      </c>
      <c r="N60" s="4">
        <v>97.4</v>
      </c>
      <c r="O60" s="4">
        <v>2.6</v>
      </c>
      <c r="P60">
        <f t="shared" si="4"/>
        <v>100</v>
      </c>
      <c r="Q60" s="4">
        <f t="shared" si="2"/>
        <v>94.800000000000011</v>
      </c>
      <c r="R60">
        <f t="shared" si="3"/>
        <v>0.94800000000000006</v>
      </c>
    </row>
    <row r="61" spans="1:18" x14ac:dyDescent="0.3">
      <c r="A61" t="s">
        <v>129</v>
      </c>
      <c r="B61" t="s">
        <v>130</v>
      </c>
      <c r="C61" t="s">
        <v>12</v>
      </c>
      <c r="D61" s="1">
        <v>41565</v>
      </c>
      <c r="E61" s="1">
        <v>41565</v>
      </c>
      <c r="F61" s="1">
        <v>41709</v>
      </c>
      <c r="G61" s="1">
        <v>41947</v>
      </c>
      <c r="H61" t="s">
        <v>206</v>
      </c>
      <c r="I61" s="4">
        <v>57.6</v>
      </c>
      <c r="J61" s="4">
        <v>42.4</v>
      </c>
      <c r="K61">
        <f t="shared" si="5"/>
        <v>100</v>
      </c>
      <c r="L61" s="4">
        <f t="shared" si="6"/>
        <v>15.200000000000003</v>
      </c>
      <c r="M61">
        <f t="shared" si="1"/>
        <v>0.15200000000000002</v>
      </c>
      <c r="N61" s="4">
        <v>48.4</v>
      </c>
      <c r="O61" s="4">
        <v>46.6</v>
      </c>
      <c r="P61">
        <v>100</v>
      </c>
      <c r="Q61" s="4">
        <f t="shared" si="2"/>
        <v>1.7999999999999972</v>
      </c>
      <c r="R61">
        <f t="shared" si="3"/>
        <v>1.7999999999999971E-2</v>
      </c>
    </row>
    <row r="62" spans="1:18" x14ac:dyDescent="0.3">
      <c r="A62" t="s">
        <v>121</v>
      </c>
      <c r="B62" t="s">
        <v>131</v>
      </c>
      <c r="C62" t="s">
        <v>12</v>
      </c>
      <c r="D62" s="1">
        <v>42041</v>
      </c>
      <c r="E62" s="1">
        <v>42041</v>
      </c>
      <c r="F62" s="1">
        <v>42136</v>
      </c>
      <c r="G62" s="1">
        <v>42682</v>
      </c>
      <c r="H62" t="s">
        <v>207</v>
      </c>
      <c r="I62" s="4">
        <v>67.900000000000006</v>
      </c>
      <c r="J62" s="4">
        <v>28.9</v>
      </c>
      <c r="K62">
        <v>100</v>
      </c>
      <c r="L62" s="4">
        <f t="shared" si="6"/>
        <v>39.000000000000007</v>
      </c>
      <c r="M62">
        <f t="shared" si="1"/>
        <v>0.39000000000000007</v>
      </c>
      <c r="N62" s="4">
        <v>69.97</v>
      </c>
      <c r="O62" s="4">
        <v>30.03</v>
      </c>
      <c r="P62">
        <f t="shared" si="4"/>
        <v>100</v>
      </c>
      <c r="Q62" s="4">
        <f t="shared" si="2"/>
        <v>39.94</v>
      </c>
      <c r="R62">
        <f t="shared" si="3"/>
        <v>0.39939999999999998</v>
      </c>
    </row>
    <row r="63" spans="1:18" x14ac:dyDescent="0.3">
      <c r="A63" t="s">
        <v>47</v>
      </c>
      <c r="B63" t="s">
        <v>132</v>
      </c>
      <c r="C63" t="s">
        <v>9</v>
      </c>
      <c r="D63" s="1">
        <v>42571</v>
      </c>
      <c r="E63" s="1">
        <v>42571</v>
      </c>
      <c r="F63" s="1">
        <v>42682</v>
      </c>
      <c r="G63" s="1">
        <v>42682</v>
      </c>
      <c r="H63" t="s">
        <v>208</v>
      </c>
      <c r="I63" s="4">
        <v>51.9</v>
      </c>
      <c r="J63" s="4">
        <v>48.1</v>
      </c>
      <c r="K63">
        <f t="shared" si="5"/>
        <v>100</v>
      </c>
      <c r="L63" s="4">
        <f t="shared" si="6"/>
        <v>3.7999999999999972</v>
      </c>
      <c r="M63">
        <f t="shared" si="1"/>
        <v>3.7999999999999971E-2</v>
      </c>
      <c r="N63" s="4">
        <v>60.5</v>
      </c>
      <c r="O63" s="4">
        <v>20.6</v>
      </c>
      <c r="P63">
        <v>100</v>
      </c>
      <c r="Q63" s="4">
        <f t="shared" si="2"/>
        <v>39.9</v>
      </c>
      <c r="R63">
        <f t="shared" si="3"/>
        <v>0.39899999999999997</v>
      </c>
    </row>
    <row r="64" spans="1:18" x14ac:dyDescent="0.3">
      <c r="A64" t="s">
        <v>133</v>
      </c>
      <c r="B64" t="s">
        <v>134</v>
      </c>
      <c r="C64" t="s">
        <v>9</v>
      </c>
      <c r="D64" s="1">
        <v>43175</v>
      </c>
      <c r="E64" s="1">
        <v>43175</v>
      </c>
      <c r="F64" s="1">
        <v>43410</v>
      </c>
      <c r="G64" s="1">
        <v>43410</v>
      </c>
      <c r="H64" t="s">
        <v>209</v>
      </c>
      <c r="I64" s="4">
        <v>56.1</v>
      </c>
      <c r="J64" s="4">
        <v>43.8</v>
      </c>
      <c r="K64">
        <v>100</v>
      </c>
      <c r="L64" s="4">
        <f t="shared" si="6"/>
        <v>12.300000000000004</v>
      </c>
      <c r="M64">
        <f t="shared" si="1"/>
        <v>0.12300000000000004</v>
      </c>
      <c r="N64" s="4">
        <v>58.3</v>
      </c>
      <c r="O64" s="4">
        <v>41.7</v>
      </c>
      <c r="P64">
        <f t="shared" si="4"/>
        <v>100</v>
      </c>
      <c r="Q64" s="4">
        <f t="shared" si="2"/>
        <v>16.599999999999994</v>
      </c>
      <c r="R64">
        <f t="shared" si="3"/>
        <v>0.16599999999999995</v>
      </c>
    </row>
    <row r="65" spans="1:19" x14ac:dyDescent="0.3">
      <c r="A65" t="s">
        <v>135</v>
      </c>
      <c r="B65" t="s">
        <v>136</v>
      </c>
      <c r="C65" t="s">
        <v>12</v>
      </c>
      <c r="D65" s="1">
        <v>43506</v>
      </c>
      <c r="E65" s="1">
        <v>43506</v>
      </c>
      <c r="F65" s="1">
        <v>43718</v>
      </c>
      <c r="G65" s="1">
        <v>44138</v>
      </c>
      <c r="H65" t="s">
        <v>210</v>
      </c>
      <c r="I65" s="4">
        <v>100</v>
      </c>
      <c r="J65" s="4">
        <v>0</v>
      </c>
      <c r="K65">
        <f t="shared" si="5"/>
        <v>100</v>
      </c>
      <c r="L65" s="4">
        <f t="shared" si="6"/>
        <v>100</v>
      </c>
      <c r="M65">
        <f t="shared" si="1"/>
        <v>1</v>
      </c>
      <c r="N65" s="4">
        <v>61.74</v>
      </c>
      <c r="O65" s="4">
        <v>37.74</v>
      </c>
      <c r="P65">
        <v>100</v>
      </c>
      <c r="Q65" s="4">
        <f t="shared" si="2"/>
        <v>24</v>
      </c>
      <c r="R65">
        <f t="shared" si="3"/>
        <v>0.24</v>
      </c>
    </row>
    <row r="66" spans="1:19" x14ac:dyDescent="0.3">
      <c r="A66" t="s">
        <v>85</v>
      </c>
      <c r="B66" t="s">
        <v>137</v>
      </c>
      <c r="C66" t="s">
        <v>9</v>
      </c>
      <c r="D66" s="1">
        <v>43755</v>
      </c>
      <c r="E66" s="1">
        <v>43755</v>
      </c>
      <c r="F66" s="1">
        <v>43949</v>
      </c>
      <c r="G66" s="1">
        <v>44138</v>
      </c>
      <c r="H66" t="s">
        <v>211</v>
      </c>
      <c r="I66" s="4">
        <v>76.5</v>
      </c>
      <c r="J66" s="4">
        <v>21.3</v>
      </c>
      <c r="K66">
        <v>100</v>
      </c>
      <c r="L66" s="4">
        <f t="shared" si="6"/>
        <v>55.2</v>
      </c>
      <c r="M66">
        <f t="shared" si="1"/>
        <v>0.55200000000000005</v>
      </c>
      <c r="N66" s="4">
        <v>73.8</v>
      </c>
      <c r="O66" s="4">
        <v>25.1</v>
      </c>
      <c r="P66">
        <v>100</v>
      </c>
      <c r="Q66" s="4">
        <f t="shared" si="2"/>
        <v>48.699999999999996</v>
      </c>
      <c r="R66">
        <f t="shared" si="3"/>
        <v>0.48699999999999993</v>
      </c>
    </row>
    <row r="67" spans="1:19" s="2" customFormat="1" x14ac:dyDescent="0.3">
      <c r="A67" s="2" t="s">
        <v>138</v>
      </c>
      <c r="B67" s="2" t="s">
        <v>139</v>
      </c>
      <c r="C67" s="2" t="s">
        <v>9</v>
      </c>
      <c r="D67" s="3">
        <v>44029</v>
      </c>
      <c r="E67" s="3">
        <v>44029</v>
      </c>
      <c r="F67" s="3">
        <v>44166</v>
      </c>
      <c r="G67" s="3">
        <v>44138</v>
      </c>
      <c r="H67" s="2" t="s">
        <v>212</v>
      </c>
      <c r="I67" s="5">
        <v>100</v>
      </c>
      <c r="J67" s="5">
        <v>0</v>
      </c>
      <c r="K67">
        <f t="shared" ref="K67:K74" si="7">I67+J67</f>
        <v>100</v>
      </c>
      <c r="L67" s="4">
        <f t="shared" si="6"/>
        <v>100</v>
      </c>
      <c r="M67">
        <f t="shared" ref="M67:M76" si="8">L67/K67</f>
        <v>1</v>
      </c>
      <c r="N67" s="5">
        <v>54.3</v>
      </c>
      <c r="O67" s="5">
        <v>45.7</v>
      </c>
      <c r="P67">
        <f t="shared" ref="P67:P72" si="9">N67+O67</f>
        <v>100</v>
      </c>
      <c r="Q67" s="4">
        <f t="shared" ref="Q67:Q76" si="10">N67-O67</f>
        <v>8.5999999999999943</v>
      </c>
      <c r="R67">
        <f t="shared" ref="R67:R76" si="11">Q67/P67</f>
        <v>8.5999999999999938E-2</v>
      </c>
    </row>
    <row r="68" spans="1:19" x14ac:dyDescent="0.3">
      <c r="A68" t="s">
        <v>128</v>
      </c>
      <c r="B68" t="s">
        <v>140</v>
      </c>
      <c r="C68" t="s">
        <v>12</v>
      </c>
      <c r="D68" s="1">
        <v>44194</v>
      </c>
      <c r="E68" s="1">
        <v>44194</v>
      </c>
      <c r="F68" s="1">
        <v>44275</v>
      </c>
      <c r="G68" s="1">
        <v>44873</v>
      </c>
      <c r="H68" t="s">
        <v>213</v>
      </c>
      <c r="I68" s="4">
        <v>62</v>
      </c>
      <c r="J68" s="4">
        <v>38</v>
      </c>
      <c r="K68">
        <f t="shared" si="7"/>
        <v>100</v>
      </c>
      <c r="L68" s="4">
        <f t="shared" si="6"/>
        <v>24</v>
      </c>
      <c r="M68">
        <f t="shared" si="8"/>
        <v>0.24</v>
      </c>
      <c r="N68" s="4">
        <v>64.900000000000006</v>
      </c>
      <c r="O68" s="4">
        <v>27.3</v>
      </c>
      <c r="P68">
        <v>100</v>
      </c>
      <c r="Q68" s="4">
        <f t="shared" si="10"/>
        <v>37.600000000000009</v>
      </c>
      <c r="R68">
        <f t="shared" si="11"/>
        <v>0.37600000000000011</v>
      </c>
    </row>
    <row r="69" spans="1:19" x14ac:dyDescent="0.3">
      <c r="A69" t="s">
        <v>28</v>
      </c>
      <c r="B69" t="s">
        <v>141</v>
      </c>
      <c r="C69" t="s">
        <v>12</v>
      </c>
      <c r="D69" s="1">
        <v>44234</v>
      </c>
      <c r="E69" s="1">
        <v>44234</v>
      </c>
      <c r="F69" s="1">
        <v>44404</v>
      </c>
      <c r="G69" s="1">
        <v>44873</v>
      </c>
      <c r="H69" t="s">
        <v>214</v>
      </c>
      <c r="I69" s="4">
        <v>52.8</v>
      </c>
      <c r="J69" s="4">
        <v>44</v>
      </c>
      <c r="K69">
        <v>100</v>
      </c>
      <c r="L69" s="4">
        <f t="shared" si="6"/>
        <v>8.7999999999999972</v>
      </c>
      <c r="M69">
        <f t="shared" si="8"/>
        <v>8.7999999999999967E-2</v>
      </c>
      <c r="N69" s="4">
        <v>53.3</v>
      </c>
      <c r="O69" s="4">
        <v>46.7</v>
      </c>
      <c r="P69">
        <f t="shared" si="9"/>
        <v>100</v>
      </c>
      <c r="Q69" s="4">
        <f t="shared" si="10"/>
        <v>6.5999999999999943</v>
      </c>
      <c r="R69">
        <f t="shared" si="11"/>
        <v>6.5999999999999948E-2</v>
      </c>
    </row>
    <row r="70" spans="1:19" x14ac:dyDescent="0.3">
      <c r="A70" t="s">
        <v>142</v>
      </c>
      <c r="B70" t="s">
        <v>143</v>
      </c>
      <c r="C70" t="s">
        <v>9</v>
      </c>
      <c r="D70" s="1">
        <v>44292</v>
      </c>
      <c r="E70" s="1">
        <v>44292</v>
      </c>
      <c r="F70" s="1">
        <v>44572</v>
      </c>
      <c r="G70" s="1">
        <v>44873</v>
      </c>
      <c r="H70" t="s">
        <v>215</v>
      </c>
      <c r="I70" s="4">
        <v>78.7</v>
      </c>
      <c r="J70" s="4">
        <v>21.3</v>
      </c>
      <c r="K70">
        <f t="shared" si="7"/>
        <v>100</v>
      </c>
      <c r="L70" s="4">
        <f t="shared" si="6"/>
        <v>57.400000000000006</v>
      </c>
      <c r="M70">
        <f t="shared" si="8"/>
        <v>0.57400000000000007</v>
      </c>
      <c r="N70" s="4">
        <v>79</v>
      </c>
      <c r="O70" s="4">
        <v>19.399999999999999</v>
      </c>
      <c r="P70">
        <v>100</v>
      </c>
      <c r="Q70" s="4">
        <f t="shared" si="10"/>
        <v>59.6</v>
      </c>
      <c r="R70">
        <f t="shared" si="11"/>
        <v>0.59599999999999997</v>
      </c>
    </row>
    <row r="71" spans="1:19" x14ac:dyDescent="0.3">
      <c r="A71" t="s">
        <v>144</v>
      </c>
      <c r="B71" t="s">
        <v>145</v>
      </c>
      <c r="C71" t="s">
        <v>12</v>
      </c>
      <c r="D71" s="1">
        <v>44609</v>
      </c>
      <c r="E71" s="1">
        <v>44609</v>
      </c>
      <c r="F71" s="1">
        <v>44782</v>
      </c>
      <c r="G71" s="1">
        <v>44873</v>
      </c>
      <c r="H71" t="s">
        <v>216</v>
      </c>
      <c r="I71" s="4">
        <v>48.6</v>
      </c>
      <c r="J71" s="4">
        <v>45.5</v>
      </c>
      <c r="K71">
        <v>100</v>
      </c>
      <c r="L71" s="4">
        <f t="shared" si="6"/>
        <v>3.1000000000000014</v>
      </c>
      <c r="M71">
        <f t="shared" si="8"/>
        <v>3.1000000000000014E-2</v>
      </c>
      <c r="N71" s="4">
        <v>50.7</v>
      </c>
      <c r="O71" s="4">
        <v>46.8</v>
      </c>
      <c r="P71">
        <v>100</v>
      </c>
      <c r="Q71" s="4">
        <f t="shared" si="10"/>
        <v>3.9000000000000057</v>
      </c>
      <c r="R71">
        <f t="shared" si="11"/>
        <v>3.9000000000000055E-2</v>
      </c>
    </row>
    <row r="72" spans="1:19" x14ac:dyDescent="0.3">
      <c r="A72" t="s">
        <v>146</v>
      </c>
      <c r="B72" t="s">
        <v>147</v>
      </c>
      <c r="C72" t="s">
        <v>12</v>
      </c>
      <c r="D72" s="1">
        <v>44638</v>
      </c>
      <c r="E72" s="1">
        <v>44638</v>
      </c>
      <c r="F72" s="1">
        <v>44789</v>
      </c>
      <c r="G72" s="1">
        <v>44873</v>
      </c>
      <c r="H72" t="s">
        <v>217</v>
      </c>
      <c r="I72" s="4">
        <v>54.4</v>
      </c>
      <c r="J72" s="4">
        <v>45.3</v>
      </c>
      <c r="K72">
        <v>100</v>
      </c>
      <c r="L72" s="4">
        <f t="shared" si="6"/>
        <v>9.1000000000000014</v>
      </c>
      <c r="M72">
        <f t="shared" si="8"/>
        <v>9.1000000000000011E-2</v>
      </c>
      <c r="N72" s="4">
        <v>51.5</v>
      </c>
      <c r="O72" s="4">
        <v>48.5</v>
      </c>
      <c r="P72">
        <f t="shared" si="9"/>
        <v>100</v>
      </c>
      <c r="Q72" s="4">
        <f t="shared" si="10"/>
        <v>3</v>
      </c>
      <c r="R72">
        <f t="shared" si="11"/>
        <v>0.03</v>
      </c>
      <c r="S72">
        <v>1</v>
      </c>
    </row>
    <row r="73" spans="1:19" x14ac:dyDescent="0.3">
      <c r="A73" t="s">
        <v>148</v>
      </c>
      <c r="B73" t="s">
        <v>149</v>
      </c>
      <c r="C73" t="s">
        <v>12</v>
      </c>
      <c r="D73" s="1">
        <v>44776</v>
      </c>
      <c r="E73" s="1">
        <v>44776</v>
      </c>
      <c r="F73" s="1">
        <v>44873</v>
      </c>
      <c r="G73" s="1">
        <v>44873</v>
      </c>
      <c r="H73" t="s">
        <v>218</v>
      </c>
      <c r="I73" s="4">
        <v>61.5</v>
      </c>
      <c r="J73" s="4">
        <v>38.5</v>
      </c>
      <c r="K73">
        <f t="shared" si="7"/>
        <v>100</v>
      </c>
      <c r="L73" s="4">
        <f t="shared" si="6"/>
        <v>23</v>
      </c>
      <c r="M73">
        <f t="shared" si="8"/>
        <v>0.23</v>
      </c>
      <c r="N73" s="4">
        <v>63.3</v>
      </c>
      <c r="O73" s="4">
        <v>33.4</v>
      </c>
      <c r="P73">
        <v>100</v>
      </c>
      <c r="Q73" s="4">
        <f t="shared" si="10"/>
        <v>29.9</v>
      </c>
      <c r="R73">
        <f t="shared" si="11"/>
        <v>0.29899999999999999</v>
      </c>
    </row>
    <row r="74" spans="1:19" x14ac:dyDescent="0.3">
      <c r="A74" t="s">
        <v>103</v>
      </c>
      <c r="B74" t="s">
        <v>150</v>
      </c>
      <c r="C74" t="s">
        <v>9</v>
      </c>
      <c r="D74" s="1">
        <v>44893</v>
      </c>
      <c r="E74" s="1">
        <v>44893</v>
      </c>
      <c r="F74" s="1">
        <v>44978</v>
      </c>
      <c r="G74" s="1">
        <v>45601</v>
      </c>
      <c r="H74" t="s">
        <v>219</v>
      </c>
      <c r="I74" s="4">
        <v>64.400000000000006</v>
      </c>
      <c r="J74" s="4">
        <v>35.6</v>
      </c>
      <c r="K74">
        <f t="shared" si="7"/>
        <v>100</v>
      </c>
      <c r="L74" s="4">
        <f t="shared" si="6"/>
        <v>28.800000000000004</v>
      </c>
      <c r="M74">
        <f t="shared" si="8"/>
        <v>0.28800000000000003</v>
      </c>
      <c r="N74" s="4">
        <v>74.400000000000006</v>
      </c>
      <c r="O74" s="4">
        <v>25.5</v>
      </c>
      <c r="P74">
        <v>100</v>
      </c>
      <c r="Q74" s="4">
        <f t="shared" si="10"/>
        <v>48.900000000000006</v>
      </c>
      <c r="R74">
        <f t="shared" si="11"/>
        <v>0.48900000000000005</v>
      </c>
    </row>
    <row r="75" spans="1:19" x14ac:dyDescent="0.3">
      <c r="A75" t="s">
        <v>126</v>
      </c>
      <c r="B75" t="s">
        <v>151</v>
      </c>
      <c r="C75" t="s">
        <v>9</v>
      </c>
      <c r="D75" s="1">
        <v>45406</v>
      </c>
      <c r="E75" s="1">
        <v>45406</v>
      </c>
      <c r="F75" s="1">
        <v>45553</v>
      </c>
      <c r="G75" s="1">
        <v>45601</v>
      </c>
      <c r="H75" t="s">
        <v>220</v>
      </c>
      <c r="I75" s="4">
        <v>77.599999999999994</v>
      </c>
      <c r="J75" s="4">
        <v>20.100000000000001</v>
      </c>
      <c r="K75">
        <v>100</v>
      </c>
      <c r="L75" s="4">
        <f t="shared" si="6"/>
        <v>57.499999999999993</v>
      </c>
      <c r="M75">
        <f t="shared" si="8"/>
        <v>0.57499999999999996</v>
      </c>
      <c r="N75" s="4">
        <v>81.400000000000006</v>
      </c>
      <c r="O75" s="4">
        <v>15.6</v>
      </c>
      <c r="P75">
        <v>100</v>
      </c>
      <c r="Q75" s="4">
        <f t="shared" si="10"/>
        <v>65.800000000000011</v>
      </c>
      <c r="R75">
        <f t="shared" si="11"/>
        <v>0.65800000000000014</v>
      </c>
    </row>
    <row r="76" spans="1:19" x14ac:dyDescent="0.3">
      <c r="A76" t="s">
        <v>69</v>
      </c>
      <c r="B76" t="s">
        <v>152</v>
      </c>
      <c r="C76" t="s">
        <v>9</v>
      </c>
      <c r="D76" s="1">
        <v>45492</v>
      </c>
      <c r="E76" s="1">
        <v>45492</v>
      </c>
      <c r="F76" s="1">
        <v>45601</v>
      </c>
      <c r="G76" s="1">
        <v>45601</v>
      </c>
      <c r="H76" t="s">
        <v>221</v>
      </c>
      <c r="I76" s="4">
        <v>70.7</v>
      </c>
      <c r="J76" s="4">
        <v>26.2</v>
      </c>
      <c r="K76">
        <v>100</v>
      </c>
      <c r="L76" s="4">
        <f t="shared" si="6"/>
        <v>44.5</v>
      </c>
      <c r="M76">
        <f t="shared" si="8"/>
        <v>0.44500000000000001</v>
      </c>
      <c r="N76" s="4">
        <v>67.900000000000006</v>
      </c>
      <c r="O76" s="4">
        <v>22.2</v>
      </c>
      <c r="P76">
        <v>100</v>
      </c>
      <c r="Q76" s="4">
        <f t="shared" si="10"/>
        <v>45.7</v>
      </c>
      <c r="R76">
        <f t="shared" si="11"/>
        <v>0.45700000000000002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F033-48C8-4092-AAAA-2864C45D7052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Hoxhaj, Lir</cp:lastModifiedBy>
  <dcterms:created xsi:type="dcterms:W3CDTF">2025-10-16T13:51:41Z</dcterms:created>
  <dcterms:modified xsi:type="dcterms:W3CDTF">2025-10-29T15:34:56Z</dcterms:modified>
</cp:coreProperties>
</file>